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A9A7CFB-A580-4E2D-B592-6F4781EE5D53}" xr6:coauthVersionLast="47" xr6:coauthVersionMax="47" xr10:uidLastSave="{00000000-0000-0000-0000-000000000000}"/>
  <bookViews>
    <workbookView xWindow="-108" yWindow="-108" windowWidth="23256" windowHeight="14616" tabRatio="820" firstSheet="1" activeTab="8" xr2:uid="{00000000-000D-0000-FFFF-FFFF00000000}"/>
  </bookViews>
  <sheets>
    <sheet name="Cover" sheetId="1" r:id="rId1"/>
    <sheet name="Assumptions" sheetId="2" r:id="rId2"/>
    <sheet name="Acquirer_Financials" sheetId="3" r:id="rId3"/>
    <sheet name="Target_Financials" sheetId="4" r:id="rId4"/>
    <sheet name="Ratio_Analysis" sheetId="5" r:id="rId5"/>
    <sheet name="Price_Volume_Trends" sheetId="6" r:id="rId6"/>
    <sheet name="DCF" sheetId="7" r:id="rId7"/>
    <sheet name="Trading_Comps" sheetId="8" r:id="rId8"/>
    <sheet name="Precedent_Transactions" sheetId="9" r:id="rId9"/>
    <sheet name="Football_Field" sheetId="10" r:id="rId10"/>
    <sheet name="Accretion_Dilution" sheetId="11" r:id="rId11"/>
    <sheet name="Sensitivity" sheetId="12" r:id="rId12"/>
    <sheet name="Summary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13" l="1"/>
  <c r="C15" i="13"/>
  <c r="E12" i="13"/>
  <c r="D12" i="13"/>
  <c r="C12" i="13"/>
  <c r="E11" i="13"/>
  <c r="C11" i="13"/>
  <c r="E10" i="13"/>
  <c r="C10" i="13"/>
  <c r="C10" i="12"/>
  <c r="C9" i="12"/>
  <c r="C8" i="12"/>
  <c r="C7" i="12"/>
  <c r="C6" i="12"/>
  <c r="H65" i="11"/>
  <c r="F65" i="11"/>
  <c r="E65" i="11"/>
  <c r="D65" i="11"/>
  <c r="C65" i="11"/>
  <c r="H64" i="11"/>
  <c r="G64" i="11"/>
  <c r="F64" i="11"/>
  <c r="E64" i="11"/>
  <c r="D64" i="11"/>
  <c r="C64" i="11"/>
  <c r="H55" i="11"/>
  <c r="F55" i="11"/>
  <c r="E55" i="11"/>
  <c r="D55" i="11"/>
  <c r="C55" i="11"/>
  <c r="H51" i="11"/>
  <c r="G51" i="11"/>
  <c r="F51" i="11"/>
  <c r="E51" i="11"/>
  <c r="D51" i="11"/>
  <c r="C51" i="11"/>
  <c r="H37" i="11"/>
  <c r="G37" i="11"/>
  <c r="F37" i="11"/>
  <c r="E37" i="11"/>
  <c r="D37" i="11"/>
  <c r="C37" i="11"/>
  <c r="C27" i="11"/>
  <c r="D20" i="11"/>
  <c r="C20" i="11"/>
  <c r="E20" i="11" s="1"/>
  <c r="E19" i="11"/>
  <c r="D19" i="11"/>
  <c r="C19" i="11"/>
  <c r="C15" i="11"/>
  <c r="C13" i="11"/>
  <c r="C12" i="11"/>
  <c r="G55" i="11" s="1"/>
  <c r="C11" i="11"/>
  <c r="C9" i="11"/>
  <c r="G65" i="11" s="1"/>
  <c r="C7" i="11"/>
  <c r="C6" i="11"/>
  <c r="D12" i="10"/>
  <c r="E12" i="10" s="1"/>
  <c r="C12" i="10"/>
  <c r="F12" i="10" s="1"/>
  <c r="D10" i="10"/>
  <c r="E10" i="10" s="1"/>
  <c r="C10" i="10"/>
  <c r="F10" i="10" s="1"/>
  <c r="D6" i="10"/>
  <c r="E6" i="10" s="1"/>
  <c r="C6" i="10"/>
  <c r="F6" i="10" s="1"/>
  <c r="C26" i="9"/>
  <c r="C25" i="9"/>
  <c r="C2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H15" i="9" s="1"/>
  <c r="C26" i="8"/>
  <c r="C25" i="8"/>
  <c r="C24" i="8"/>
  <c r="E13" i="8"/>
  <c r="I13" i="8" s="1"/>
  <c r="I12" i="8"/>
  <c r="H12" i="8"/>
  <c r="E12" i="8"/>
  <c r="E11" i="8"/>
  <c r="I11" i="8" s="1"/>
  <c r="E10" i="8"/>
  <c r="I10" i="8" s="1"/>
  <c r="I9" i="8"/>
  <c r="H9" i="8"/>
  <c r="E9" i="8"/>
  <c r="E8" i="8"/>
  <c r="I7" i="8"/>
  <c r="E7" i="8"/>
  <c r="H7" i="8" s="1"/>
  <c r="E6" i="8"/>
  <c r="I6" i="8" s="1"/>
  <c r="C36" i="7"/>
  <c r="E13" i="7"/>
  <c r="E17" i="7" s="1"/>
  <c r="E10" i="7"/>
  <c r="D10" i="7"/>
  <c r="C10" i="7"/>
  <c r="C7" i="7"/>
  <c r="C6" i="7"/>
  <c r="C118" i="6"/>
  <c r="C114" i="6"/>
  <c r="C113" i="6"/>
  <c r="C112" i="6"/>
  <c r="C111" i="6"/>
  <c r="C110" i="6"/>
  <c r="C109" i="6"/>
  <c r="C108" i="6"/>
  <c r="L104" i="6"/>
  <c r="K104" i="6"/>
  <c r="J104" i="6"/>
  <c r="I104" i="6"/>
  <c r="H104" i="6"/>
  <c r="K103" i="6"/>
  <c r="J103" i="6"/>
  <c r="L103" i="6" s="1"/>
  <c r="I103" i="6"/>
  <c r="H103" i="6"/>
  <c r="K102" i="6"/>
  <c r="J102" i="6"/>
  <c r="L102" i="6" s="1"/>
  <c r="I102" i="6"/>
  <c r="H102" i="6"/>
  <c r="K101" i="6"/>
  <c r="J101" i="6"/>
  <c r="L101" i="6" s="1"/>
  <c r="I101" i="6"/>
  <c r="H101" i="6"/>
  <c r="J100" i="6"/>
  <c r="L100" i="6" s="1"/>
  <c r="I100" i="6"/>
  <c r="K100" i="6" s="1"/>
  <c r="H100" i="6"/>
  <c r="J99" i="6"/>
  <c r="L99" i="6" s="1"/>
  <c r="I99" i="6"/>
  <c r="K99" i="6" s="1"/>
  <c r="H99" i="6"/>
  <c r="J98" i="6"/>
  <c r="L98" i="6" s="1"/>
  <c r="I98" i="6"/>
  <c r="K98" i="6" s="1"/>
  <c r="H98" i="6"/>
  <c r="J97" i="6"/>
  <c r="L97" i="6" s="1"/>
  <c r="I97" i="6"/>
  <c r="K97" i="6" s="1"/>
  <c r="H97" i="6"/>
  <c r="J96" i="6"/>
  <c r="L96" i="6" s="1"/>
  <c r="I96" i="6"/>
  <c r="K96" i="6" s="1"/>
  <c r="H96" i="6"/>
  <c r="J95" i="6"/>
  <c r="L95" i="6" s="1"/>
  <c r="I95" i="6"/>
  <c r="K95" i="6" s="1"/>
  <c r="H95" i="6"/>
  <c r="L94" i="6"/>
  <c r="J94" i="6"/>
  <c r="I94" i="6"/>
  <c r="K94" i="6" s="1"/>
  <c r="H94" i="6"/>
  <c r="L93" i="6"/>
  <c r="J93" i="6"/>
  <c r="I93" i="6"/>
  <c r="K93" i="6" s="1"/>
  <c r="H93" i="6"/>
  <c r="C117" i="6" s="1"/>
  <c r="J92" i="6"/>
  <c r="L92" i="6" s="1"/>
  <c r="I92" i="6"/>
  <c r="K92" i="6" s="1"/>
  <c r="C41" i="6"/>
  <c r="C40" i="6"/>
  <c r="C36" i="6"/>
  <c r="C35" i="6"/>
  <c r="C34" i="6"/>
  <c r="C33" i="6"/>
  <c r="C32" i="6"/>
  <c r="C31" i="6"/>
  <c r="C30" i="6"/>
  <c r="J27" i="6"/>
  <c r="L27" i="6" s="1"/>
  <c r="I27" i="6"/>
  <c r="K27" i="6" s="1"/>
  <c r="H27" i="6"/>
  <c r="L26" i="6"/>
  <c r="K26" i="6"/>
  <c r="J26" i="6"/>
  <c r="I26" i="6"/>
  <c r="H26" i="6"/>
  <c r="L25" i="6"/>
  <c r="K25" i="6"/>
  <c r="J25" i="6"/>
  <c r="I25" i="6"/>
  <c r="H25" i="6"/>
  <c r="L24" i="6"/>
  <c r="J24" i="6"/>
  <c r="I24" i="6"/>
  <c r="K24" i="6" s="1"/>
  <c r="H24" i="6"/>
  <c r="L23" i="6"/>
  <c r="K23" i="6"/>
  <c r="J23" i="6"/>
  <c r="I23" i="6"/>
  <c r="H23" i="6"/>
  <c r="K22" i="6"/>
  <c r="J22" i="6"/>
  <c r="L22" i="6" s="1"/>
  <c r="I22" i="6"/>
  <c r="H22" i="6"/>
  <c r="K21" i="6"/>
  <c r="J21" i="6"/>
  <c r="L21" i="6" s="1"/>
  <c r="I21" i="6"/>
  <c r="H21" i="6"/>
  <c r="K20" i="6"/>
  <c r="J20" i="6"/>
  <c r="L20" i="6" s="1"/>
  <c r="I20" i="6"/>
  <c r="H20" i="6"/>
  <c r="J19" i="6"/>
  <c r="L19" i="6" s="1"/>
  <c r="I19" i="6"/>
  <c r="K19" i="6" s="1"/>
  <c r="H19" i="6"/>
  <c r="J18" i="6"/>
  <c r="L18" i="6" s="1"/>
  <c r="I18" i="6"/>
  <c r="K18" i="6" s="1"/>
  <c r="H18" i="6"/>
  <c r="J17" i="6"/>
  <c r="L17" i="6" s="1"/>
  <c r="I17" i="6"/>
  <c r="K17" i="6" s="1"/>
  <c r="H17" i="6"/>
  <c r="J16" i="6"/>
  <c r="L16" i="6" s="1"/>
  <c r="I16" i="6"/>
  <c r="K16" i="6" s="1"/>
  <c r="H16" i="6"/>
  <c r="J15" i="6"/>
  <c r="L15" i="6" s="1"/>
  <c r="I15" i="6"/>
  <c r="K15" i="6" s="1"/>
  <c r="H15" i="6"/>
  <c r="J14" i="6"/>
  <c r="L14" i="6" s="1"/>
  <c r="I14" i="6"/>
  <c r="K14" i="6" s="1"/>
  <c r="H14" i="6"/>
  <c r="L13" i="6"/>
  <c r="J13" i="6"/>
  <c r="I13" i="6"/>
  <c r="K13" i="6" s="1"/>
  <c r="H13" i="6"/>
  <c r="L12" i="6"/>
  <c r="J12" i="6"/>
  <c r="I12" i="6"/>
  <c r="K12" i="6" s="1"/>
  <c r="H12" i="6"/>
  <c r="J11" i="6"/>
  <c r="L11" i="6" s="1"/>
  <c r="I11" i="6"/>
  <c r="K11" i="6" s="1"/>
  <c r="H11" i="6"/>
  <c r="L10" i="6"/>
  <c r="K10" i="6"/>
  <c r="J10" i="6"/>
  <c r="I10" i="6"/>
  <c r="H10" i="6"/>
  <c r="L9" i="6"/>
  <c r="K9" i="6"/>
  <c r="J9" i="6"/>
  <c r="I9" i="6"/>
  <c r="H9" i="6"/>
  <c r="L8" i="6"/>
  <c r="J8" i="6"/>
  <c r="I8" i="6"/>
  <c r="K8" i="6" s="1"/>
  <c r="H8" i="6"/>
  <c r="L7" i="6"/>
  <c r="K7" i="6"/>
  <c r="J7" i="6"/>
  <c r="I7" i="6"/>
  <c r="H32" i="5"/>
  <c r="K27" i="5"/>
  <c r="J27" i="5"/>
  <c r="I27" i="5"/>
  <c r="H27" i="5"/>
  <c r="F27" i="5"/>
  <c r="E27" i="5"/>
  <c r="D27" i="5"/>
  <c r="C27" i="5"/>
  <c r="K26" i="5"/>
  <c r="J26" i="5"/>
  <c r="I26" i="5"/>
  <c r="H26" i="5"/>
  <c r="F26" i="5"/>
  <c r="E26" i="5"/>
  <c r="D26" i="5"/>
  <c r="C26" i="5"/>
  <c r="K23" i="5"/>
  <c r="J23" i="5"/>
  <c r="I23" i="5"/>
  <c r="H23" i="5"/>
  <c r="F23" i="5"/>
  <c r="E23" i="5"/>
  <c r="D23" i="5"/>
  <c r="C23" i="5"/>
  <c r="K22" i="5"/>
  <c r="J22" i="5"/>
  <c r="I22" i="5"/>
  <c r="H22" i="5"/>
  <c r="F22" i="5"/>
  <c r="E22" i="5"/>
  <c r="J21" i="5"/>
  <c r="I21" i="5"/>
  <c r="K20" i="5"/>
  <c r="J20" i="5"/>
  <c r="I20" i="5"/>
  <c r="H20" i="5"/>
  <c r="F20" i="5"/>
  <c r="E20" i="5"/>
  <c r="D20" i="5"/>
  <c r="C20" i="5"/>
  <c r="K17" i="5"/>
  <c r="J17" i="5"/>
  <c r="I17" i="5"/>
  <c r="H17" i="5"/>
  <c r="F17" i="5"/>
  <c r="E17" i="5"/>
  <c r="D17" i="5"/>
  <c r="C17" i="5"/>
  <c r="K16" i="5"/>
  <c r="I16" i="5"/>
  <c r="H16" i="5"/>
  <c r="F16" i="5"/>
  <c r="E16" i="5"/>
  <c r="C16" i="5"/>
  <c r="K15" i="5"/>
  <c r="J15" i="5"/>
  <c r="I15" i="5"/>
  <c r="H15" i="5"/>
  <c r="F15" i="5"/>
  <c r="E15" i="5"/>
  <c r="D15" i="5"/>
  <c r="C15" i="5"/>
  <c r="K12" i="5"/>
  <c r="I12" i="5"/>
  <c r="H12" i="5"/>
  <c r="F12" i="5"/>
  <c r="E12" i="5"/>
  <c r="C12" i="5"/>
  <c r="E9" i="5"/>
  <c r="D9" i="5"/>
  <c r="C9" i="5"/>
  <c r="K8" i="5"/>
  <c r="J8" i="5"/>
  <c r="I8" i="5"/>
  <c r="H8" i="5"/>
  <c r="F8" i="5"/>
  <c r="E8" i="5"/>
  <c r="D8" i="5"/>
  <c r="C8" i="5"/>
  <c r="I24" i="4"/>
  <c r="H24" i="4"/>
  <c r="G24" i="4"/>
  <c r="F24" i="4"/>
  <c r="K21" i="5" s="1"/>
  <c r="E24" i="4"/>
  <c r="D24" i="4"/>
  <c r="C24" i="4"/>
  <c r="H21" i="5" s="1"/>
  <c r="I15" i="4"/>
  <c r="H15" i="4"/>
  <c r="I12" i="4"/>
  <c r="H12" i="4"/>
  <c r="G12" i="4"/>
  <c r="G15" i="4" s="1"/>
  <c r="F12" i="4"/>
  <c r="F15" i="4" s="1"/>
  <c r="E12" i="4"/>
  <c r="E15" i="4" s="1"/>
  <c r="D12" i="4"/>
  <c r="D15" i="4" s="1"/>
  <c r="C12" i="4"/>
  <c r="C15" i="4" s="1"/>
  <c r="I10" i="4"/>
  <c r="H10" i="4"/>
  <c r="G10" i="4"/>
  <c r="F10" i="4"/>
  <c r="E10" i="4"/>
  <c r="D10" i="4"/>
  <c r="C10" i="4"/>
  <c r="I8" i="4"/>
  <c r="H8" i="4"/>
  <c r="G8" i="4"/>
  <c r="F8" i="4"/>
  <c r="E8" i="4"/>
  <c r="D8" i="4"/>
  <c r="I24" i="3"/>
  <c r="H24" i="3"/>
  <c r="G24" i="3"/>
  <c r="F24" i="3"/>
  <c r="F21" i="5" s="1"/>
  <c r="E24" i="3"/>
  <c r="E21" i="5" s="1"/>
  <c r="D24" i="3"/>
  <c r="C24" i="3"/>
  <c r="E15" i="3"/>
  <c r="E16" i="3" s="1"/>
  <c r="D15" i="3"/>
  <c r="D16" i="3" s="1"/>
  <c r="D17" i="3" s="1"/>
  <c r="C15" i="3"/>
  <c r="C16" i="3" s="1"/>
  <c r="C17" i="3" s="1"/>
  <c r="I12" i="3"/>
  <c r="I15" i="3" s="1"/>
  <c r="I16" i="3" s="1"/>
  <c r="H12" i="3"/>
  <c r="H15" i="3" s="1"/>
  <c r="G12" i="3"/>
  <c r="G15" i="3" s="1"/>
  <c r="F12" i="3"/>
  <c r="E12" i="3"/>
  <c r="D12" i="3"/>
  <c r="D16" i="5" s="1"/>
  <c r="C12" i="3"/>
  <c r="I10" i="3"/>
  <c r="H10" i="3"/>
  <c r="G10" i="3"/>
  <c r="F10" i="3"/>
  <c r="E10" i="3"/>
  <c r="D10" i="3"/>
  <c r="C10" i="3"/>
  <c r="I8" i="3"/>
  <c r="H8" i="3"/>
  <c r="G8" i="3"/>
  <c r="F8" i="3"/>
  <c r="E8" i="3"/>
  <c r="D8" i="3"/>
  <c r="C68" i="2"/>
  <c r="C25" i="11" s="1"/>
  <c r="C26" i="11" s="1"/>
  <c r="C28" i="11" s="1"/>
  <c r="C53" i="2"/>
  <c r="C55" i="2" s="1"/>
  <c r="C52" i="2"/>
  <c r="C16" i="13" s="1"/>
  <c r="C36" i="2"/>
  <c r="C37" i="2" s="1"/>
  <c r="C5" i="7" s="1"/>
  <c r="C34" i="2"/>
  <c r="C31" i="2"/>
  <c r="C21" i="2"/>
  <c r="H33" i="5" s="1"/>
  <c r="C19" i="2"/>
  <c r="I31" i="5" s="1"/>
  <c r="C9" i="2"/>
  <c r="C10" i="5" l="1"/>
  <c r="C11" i="5"/>
  <c r="C19" i="3"/>
  <c r="C30" i="5" s="1"/>
  <c r="G16" i="4"/>
  <c r="G17" i="4" s="1"/>
  <c r="D19" i="7"/>
  <c r="D12" i="7"/>
  <c r="D11" i="7"/>
  <c r="D18" i="7"/>
  <c r="E19" i="7"/>
  <c r="I15" i="9"/>
  <c r="C39" i="6"/>
  <c r="D13" i="7"/>
  <c r="D17" i="7" s="1"/>
  <c r="H8" i="8"/>
  <c r="I8" i="8"/>
  <c r="I20" i="8" s="1"/>
  <c r="H16" i="9"/>
  <c r="H20" i="9"/>
  <c r="H19" i="9"/>
  <c r="H17" i="9"/>
  <c r="I19" i="9"/>
  <c r="C31" i="9" s="1"/>
  <c r="D31" i="9" s="1"/>
  <c r="E31" i="9" s="1"/>
  <c r="F31" i="9" s="1"/>
  <c r="I17" i="9"/>
  <c r="C30" i="9" s="1"/>
  <c r="D30" i="9" s="1"/>
  <c r="E30" i="9" s="1"/>
  <c r="F30" i="9" s="1"/>
  <c r="D9" i="13" s="1"/>
  <c r="I16" i="9"/>
  <c r="C29" i="9" s="1"/>
  <c r="D29" i="9" s="1"/>
  <c r="E29" i="9" s="1"/>
  <c r="F29" i="9" s="1"/>
  <c r="H69" i="11"/>
  <c r="G69" i="11"/>
  <c r="F69" i="11"/>
  <c r="E69" i="11"/>
  <c r="D69" i="11"/>
  <c r="C69" i="11"/>
  <c r="F16" i="4"/>
  <c r="F17" i="4" s="1"/>
  <c r="C21" i="5"/>
  <c r="C22" i="5"/>
  <c r="D22" i="5"/>
  <c r="D21" i="5"/>
  <c r="F22" i="7"/>
  <c r="G22" i="7"/>
  <c r="C22" i="7"/>
  <c r="E22" i="7"/>
  <c r="D22" i="7"/>
  <c r="I17" i="3"/>
  <c r="I19" i="3" s="1"/>
  <c r="G16" i="3"/>
  <c r="G17" i="3"/>
  <c r="C21" i="13"/>
  <c r="C56" i="2"/>
  <c r="C20" i="13" s="1"/>
  <c r="C19" i="13"/>
  <c r="C10" i="11"/>
  <c r="C16" i="4"/>
  <c r="C17" i="4" s="1"/>
  <c r="C13" i="12"/>
  <c r="H48" i="11"/>
  <c r="G48" i="11"/>
  <c r="F48" i="11"/>
  <c r="E48" i="11"/>
  <c r="D48" i="11"/>
  <c r="C48" i="11"/>
  <c r="D16" i="4"/>
  <c r="D17" i="4" s="1"/>
  <c r="F15" i="3"/>
  <c r="F9" i="5"/>
  <c r="E16" i="4"/>
  <c r="E17" i="4" s="1"/>
  <c r="D10" i="5"/>
  <c r="D19" i="3"/>
  <c r="D30" i="5" s="1"/>
  <c r="D11" i="5"/>
  <c r="H16" i="4"/>
  <c r="H17" i="4" s="1"/>
  <c r="H19" i="4" s="1"/>
  <c r="H13" i="8"/>
  <c r="I16" i="4"/>
  <c r="I17" i="4" s="1"/>
  <c r="I19" i="4" s="1"/>
  <c r="D31" i="5"/>
  <c r="C31" i="5"/>
  <c r="F31" i="5"/>
  <c r="E31" i="5"/>
  <c r="C11" i="2"/>
  <c r="H16" i="3"/>
  <c r="H17" i="3" s="1"/>
  <c r="H19" i="3" s="1"/>
  <c r="C13" i="7"/>
  <c r="C17" i="7" s="1"/>
  <c r="C11" i="7"/>
  <c r="C12" i="7"/>
  <c r="C14" i="7" s="1"/>
  <c r="C19" i="7"/>
  <c r="C18" i="7"/>
  <c r="I17" i="8"/>
  <c r="C30" i="8" s="1"/>
  <c r="D30" i="8" s="1"/>
  <c r="E30" i="8" s="1"/>
  <c r="F30" i="8" s="1"/>
  <c r="D8" i="13" s="1"/>
  <c r="I15" i="8"/>
  <c r="C14" i="10"/>
  <c r="I32" i="5"/>
  <c r="F10" i="7"/>
  <c r="E17" i="3"/>
  <c r="J12" i="5"/>
  <c r="J16" i="5"/>
  <c r="J32" i="5"/>
  <c r="H18" i="9"/>
  <c r="C8" i="11"/>
  <c r="I18" i="9"/>
  <c r="H10" i="8"/>
  <c r="C115" i="6"/>
  <c r="I20" i="9"/>
  <c r="C17" i="13"/>
  <c r="E11" i="7"/>
  <c r="H31" i="5"/>
  <c r="E18" i="7"/>
  <c r="I9" i="5"/>
  <c r="I33" i="5"/>
  <c r="H11" i="8"/>
  <c r="J9" i="5"/>
  <c r="J31" i="5"/>
  <c r="J33" i="5"/>
  <c r="E12" i="7"/>
  <c r="E14" i="7" s="1"/>
  <c r="H6" i="8"/>
  <c r="K9" i="5"/>
  <c r="K31" i="5"/>
  <c r="K33" i="5"/>
  <c r="C37" i="6"/>
  <c r="H9" i="5"/>
  <c r="C38" i="6"/>
  <c r="K32" i="5"/>
  <c r="C116" i="6"/>
  <c r="D12" i="5"/>
  <c r="H11" i="5" l="1"/>
  <c r="H10" i="5"/>
  <c r="C19" i="4"/>
  <c r="H30" i="5" s="1"/>
  <c r="K10" i="5"/>
  <c r="K11" i="5"/>
  <c r="F19" i="4"/>
  <c r="K30" i="5" s="1"/>
  <c r="I11" i="5"/>
  <c r="I10" i="5"/>
  <c r="D19" i="4"/>
  <c r="I30" i="5" s="1"/>
  <c r="J11" i="5"/>
  <c r="E19" i="4"/>
  <c r="J30" i="5" s="1"/>
  <c r="J10" i="5"/>
  <c r="C12" i="12"/>
  <c r="G19" i="4"/>
  <c r="D21" i="11"/>
  <c r="C16" i="7"/>
  <c r="C20" i="7" s="1"/>
  <c r="C15" i="7"/>
  <c r="I18" i="8"/>
  <c r="I19" i="8"/>
  <c r="C31" i="8" s="1"/>
  <c r="D31" i="8" s="1"/>
  <c r="E31" i="8" s="1"/>
  <c r="F31" i="8" s="1"/>
  <c r="I16" i="8"/>
  <c r="C29" i="8" s="1"/>
  <c r="D29" i="8" s="1"/>
  <c r="E29" i="8" s="1"/>
  <c r="F29" i="8" s="1"/>
  <c r="E15" i="7"/>
  <c r="E16" i="7" s="1"/>
  <c r="E20" i="7" s="1"/>
  <c r="E23" i="7" s="1"/>
  <c r="F17" i="3"/>
  <c r="F16" i="3"/>
  <c r="G19" i="3"/>
  <c r="C11" i="12"/>
  <c r="C21" i="11"/>
  <c r="H20" i="8"/>
  <c r="H19" i="8"/>
  <c r="H18" i="8"/>
  <c r="H17" i="8"/>
  <c r="H16" i="8"/>
  <c r="H15" i="8"/>
  <c r="H42" i="11"/>
  <c r="H43" i="11" s="1"/>
  <c r="H56" i="11" s="1"/>
  <c r="H57" i="11" s="1"/>
  <c r="D40" i="11"/>
  <c r="G42" i="11"/>
  <c r="G43" i="11" s="1"/>
  <c r="G56" i="11" s="1"/>
  <c r="G57" i="11" s="1"/>
  <c r="C40" i="11"/>
  <c r="F42" i="11"/>
  <c r="F43" i="11" s="1"/>
  <c r="F56" i="11" s="1"/>
  <c r="F57" i="11" s="1"/>
  <c r="E42" i="11"/>
  <c r="E43" i="11" s="1"/>
  <c r="E56" i="11" s="1"/>
  <c r="E57" i="11" s="1"/>
  <c r="D42" i="11"/>
  <c r="D43" i="11" s="1"/>
  <c r="D56" i="11" s="1"/>
  <c r="D57" i="11" s="1"/>
  <c r="C42" i="11"/>
  <c r="C43" i="11" s="1"/>
  <c r="C56" i="11" s="1"/>
  <c r="C57" i="11" s="1"/>
  <c r="H41" i="11"/>
  <c r="G41" i="11"/>
  <c r="F41" i="11"/>
  <c r="E41" i="11"/>
  <c r="D41" i="11"/>
  <c r="C41" i="11"/>
  <c r="H40" i="11"/>
  <c r="G40" i="11"/>
  <c r="F40" i="11"/>
  <c r="E40" i="11"/>
  <c r="C9" i="13"/>
  <c r="C9" i="10"/>
  <c r="F9" i="10" s="1"/>
  <c r="D14" i="7"/>
  <c r="E9" i="13"/>
  <c r="D9" i="10"/>
  <c r="D32" i="5"/>
  <c r="C32" i="5"/>
  <c r="D33" i="5"/>
  <c r="C33" i="5"/>
  <c r="F33" i="5"/>
  <c r="E33" i="5"/>
  <c r="F32" i="5"/>
  <c r="E32" i="5"/>
  <c r="F18" i="7"/>
  <c r="F12" i="7"/>
  <c r="F13" i="7"/>
  <c r="F17" i="7" s="1"/>
  <c r="F11" i="7"/>
  <c r="G10" i="7"/>
  <c r="F19" i="7"/>
  <c r="E19" i="3"/>
  <c r="E30" i="5" s="1"/>
  <c r="E11" i="5"/>
  <c r="E10" i="5"/>
  <c r="D50" i="11" l="1"/>
  <c r="D67" i="11"/>
  <c r="H50" i="11"/>
  <c r="H67" i="11"/>
  <c r="G49" i="11"/>
  <c r="G66" i="11"/>
  <c r="H46" i="11"/>
  <c r="G46" i="11"/>
  <c r="F46" i="11"/>
  <c r="E46" i="11"/>
  <c r="D46" i="11"/>
  <c r="C46" i="11"/>
  <c r="E21" i="11"/>
  <c r="D39" i="12"/>
  <c r="C36" i="12"/>
  <c r="G26" i="12"/>
  <c r="D20" i="12"/>
  <c r="G38" i="12"/>
  <c r="C20" i="12"/>
  <c r="F38" i="12"/>
  <c r="E35" i="12"/>
  <c r="D26" i="12"/>
  <c r="C23" i="12"/>
  <c r="G25" i="12"/>
  <c r="F22" i="12"/>
  <c r="C38" i="12"/>
  <c r="E22" i="12"/>
  <c r="G37" i="12"/>
  <c r="F34" i="12"/>
  <c r="E25" i="12"/>
  <c r="D22" i="12"/>
  <c r="C25" i="12"/>
  <c r="G21" i="12"/>
  <c r="D37" i="12"/>
  <c r="F21" i="12"/>
  <c r="C37" i="12"/>
  <c r="G33" i="12"/>
  <c r="F24" i="12"/>
  <c r="E21" i="12"/>
  <c r="E33" i="12"/>
  <c r="D24" i="12"/>
  <c r="C21" i="12"/>
  <c r="D33" i="12"/>
  <c r="C24" i="12"/>
  <c r="G20" i="12"/>
  <c r="E39" i="12"/>
  <c r="D36" i="12"/>
  <c r="E67" i="11"/>
  <c r="E50" i="11"/>
  <c r="C49" i="11"/>
  <c r="C66" i="11"/>
  <c r="C68" i="11" s="1"/>
  <c r="C70" i="11" s="1"/>
  <c r="F47" i="11"/>
  <c r="E47" i="11"/>
  <c r="D47" i="11"/>
  <c r="C47" i="11"/>
  <c r="H47" i="11"/>
  <c r="G47" i="11"/>
  <c r="D49" i="11"/>
  <c r="D66" i="11"/>
  <c r="D68" i="11" s="1"/>
  <c r="D70" i="11" s="1"/>
  <c r="E49" i="11"/>
  <c r="E66" i="11"/>
  <c r="F49" i="11"/>
  <c r="F66" i="11"/>
  <c r="C15" i="12"/>
  <c r="E20" i="12" s="1"/>
  <c r="C22" i="11"/>
  <c r="H49" i="11"/>
  <c r="H66" i="11"/>
  <c r="H68" i="11" s="1"/>
  <c r="H70" i="11" s="1"/>
  <c r="E9" i="10"/>
  <c r="F19" i="3"/>
  <c r="F11" i="5"/>
  <c r="F10" i="5"/>
  <c r="D15" i="7"/>
  <c r="D16" i="7" s="1"/>
  <c r="D20" i="7" s="1"/>
  <c r="E8" i="13"/>
  <c r="D8" i="10"/>
  <c r="E8" i="10" s="1"/>
  <c r="C23" i="7"/>
  <c r="G12" i="7"/>
  <c r="G14" i="7" s="1"/>
  <c r="G18" i="7"/>
  <c r="G11" i="7"/>
  <c r="G13" i="7"/>
  <c r="G17" i="7" s="1"/>
  <c r="G19" i="7"/>
  <c r="C50" i="11"/>
  <c r="C67" i="11"/>
  <c r="C8" i="13"/>
  <c r="C8" i="10"/>
  <c r="F14" i="7"/>
  <c r="F67" i="11"/>
  <c r="F50" i="11"/>
  <c r="G50" i="11"/>
  <c r="G67" i="11"/>
  <c r="D23" i="7" l="1"/>
  <c r="G16" i="7"/>
  <c r="G20" i="7" s="1"/>
  <c r="G15" i="7"/>
  <c r="C52" i="11"/>
  <c r="C58" i="11" s="1"/>
  <c r="E36" i="12"/>
  <c r="G24" i="12"/>
  <c r="F25" i="12"/>
  <c r="D23" i="12"/>
  <c r="D52" i="11"/>
  <c r="D58" i="11" s="1"/>
  <c r="F39" i="12"/>
  <c r="C34" i="12"/>
  <c r="G34" i="12"/>
  <c r="E26" i="12"/>
  <c r="E52" i="11"/>
  <c r="E58" i="11" s="1"/>
  <c r="C63" i="2"/>
  <c r="C22" i="13" s="1"/>
  <c r="F30" i="5"/>
  <c r="F35" i="12"/>
  <c r="F52" i="11"/>
  <c r="F58" i="11" s="1"/>
  <c r="H52" i="11"/>
  <c r="H58" i="11" s="1"/>
  <c r="G52" i="11"/>
  <c r="G58" i="11" s="1"/>
  <c r="F36" i="12"/>
  <c r="D34" i="12"/>
  <c r="C35" i="12"/>
  <c r="E23" i="12"/>
  <c r="G68" i="11"/>
  <c r="G70" i="11" s="1"/>
  <c r="F15" i="7"/>
  <c r="F16" i="7"/>
  <c r="F20" i="7" s="1"/>
  <c r="F23" i="7" s="1"/>
  <c r="H59" i="11"/>
  <c r="D31" i="13" s="1"/>
  <c r="G59" i="11"/>
  <c r="D30" i="13" s="1"/>
  <c r="F59" i="11"/>
  <c r="D29" i="13" s="1"/>
  <c r="E59" i="11"/>
  <c r="D28" i="13" s="1"/>
  <c r="D59" i="11"/>
  <c r="D27" i="13" s="1"/>
  <c r="C59" i="11"/>
  <c r="D26" i="13" s="1"/>
  <c r="G39" i="12"/>
  <c r="E37" i="12"/>
  <c r="D38" i="12"/>
  <c r="F26" i="12"/>
  <c r="D21" i="12"/>
  <c r="C22" i="12"/>
  <c r="G22" i="12"/>
  <c r="F68" i="11"/>
  <c r="F70" i="11" s="1"/>
  <c r="F20" i="12"/>
  <c r="E24" i="12"/>
  <c r="D25" i="12"/>
  <c r="C26" i="12"/>
  <c r="C39" i="12"/>
  <c r="G23" i="12"/>
  <c r="F33" i="12"/>
  <c r="E34" i="12"/>
  <c r="D35" i="12"/>
  <c r="F8" i="10"/>
  <c r="C45" i="12"/>
  <c r="C46" i="12" s="1"/>
  <c r="G35" i="12"/>
  <c r="E68" i="11"/>
  <c r="E70" i="11" s="1"/>
  <c r="C33" i="12"/>
  <c r="G36" i="12"/>
  <c r="F37" i="12"/>
  <c r="E38" i="12"/>
  <c r="F23" i="12"/>
  <c r="C33" i="7" l="1"/>
  <c r="C35" i="7" s="1"/>
  <c r="C37" i="7" s="1"/>
  <c r="C38" i="7" s="1"/>
  <c r="C52" i="7" s="1"/>
  <c r="D7" i="13" s="1"/>
  <c r="C46" i="7"/>
  <c r="G43" i="7"/>
  <c r="F46" i="7"/>
  <c r="E45" i="7"/>
  <c r="G23" i="7"/>
  <c r="C27" i="7"/>
  <c r="C28" i="7" s="1"/>
  <c r="C29" i="7" s="1"/>
  <c r="C34" i="7" s="1"/>
  <c r="C44" i="7"/>
  <c r="F45" i="7"/>
  <c r="E61" i="11"/>
  <c r="E28" i="13" s="1"/>
  <c r="C28" i="13"/>
  <c r="E60" i="11"/>
  <c r="F43" i="7"/>
  <c r="H47" i="7"/>
  <c r="H44" i="7"/>
  <c r="E43" i="7"/>
  <c r="C29" i="13"/>
  <c r="F61" i="11"/>
  <c r="E29" i="13" s="1"/>
  <c r="F60" i="11"/>
  <c r="D46" i="7"/>
  <c r="G46" i="7"/>
  <c r="E44" i="7"/>
  <c r="D44" i="7"/>
  <c r="D60" i="11"/>
  <c r="D61" i="11"/>
  <c r="E27" i="13" s="1"/>
  <c r="C27" i="13"/>
  <c r="C45" i="7"/>
  <c r="G45" i="7"/>
  <c r="C47" i="7"/>
  <c r="C51" i="7" s="1"/>
  <c r="F47" i="7"/>
  <c r="D47" i="7"/>
  <c r="G47" i="7"/>
  <c r="F44" i="7"/>
  <c r="D45" i="7"/>
  <c r="D43" i="7"/>
  <c r="H46" i="7"/>
  <c r="C43" i="7"/>
  <c r="C30" i="13"/>
  <c r="G61" i="11"/>
  <c r="G60" i="11"/>
  <c r="C26" i="13"/>
  <c r="C60" i="11"/>
  <c r="C61" i="11"/>
  <c r="E26" i="13" s="1"/>
  <c r="G44" i="7"/>
  <c r="H43" i="7"/>
  <c r="C53" i="7" s="1"/>
  <c r="H45" i="7"/>
  <c r="E47" i="7"/>
  <c r="C31" i="13"/>
  <c r="H61" i="11"/>
  <c r="E31" i="13" s="1"/>
  <c r="H60" i="11"/>
  <c r="E46" i="7"/>
  <c r="C7" i="10" l="1"/>
  <c r="C7" i="13"/>
  <c r="E30" i="13"/>
  <c r="C44" i="12"/>
  <c r="D7" i="10"/>
  <c r="E7" i="10" s="1"/>
  <c r="E7" i="13"/>
  <c r="F7" i="10" l="1"/>
</calcChain>
</file>

<file path=xl/sharedStrings.xml><?xml version="1.0" encoding="utf-8"?>
<sst xmlns="http://schemas.openxmlformats.org/spreadsheetml/2006/main" count="866" uniqueCount="688">
  <si>
    <t>DLF Limited  ×  Awfis Space Solutions Limited</t>
  </si>
  <si>
    <t>M&amp;A Valuation &amp; Accretion/Dilution Model</t>
  </si>
  <si>
    <t>STRATEGIC RATIONALE</t>
  </si>
  <si>
    <t>• Vertical integration: DLF (India's largest commercial real estate developer) acquiring Awfis</t>
  </si>
  <si>
    <t xml:space="preserve">  (India's largest listed flexible workspace operator) creates an end-to-end 'build-to-flex' platform</t>
  </si>
  <si>
    <t>• Captive demand: DLF's ~44 msf commercial portfolio gains a ready operator for underutilized floors</t>
  </si>
  <si>
    <t>• Yield enhancement: Flex workspace generates 1.8–2.2x the rental yield of bare-shell leasing</t>
  </si>
  <si>
    <t>• Cross-sell: DLF's corporate tenant base (Fortune 500 occupiers) seeded directly to Awfis</t>
  </si>
  <si>
    <t>• Hedge against cyclical residential: Awfis adds a recurring-revenue, annuity-style income stream</t>
  </si>
  <si>
    <t>TRANSACTION SNAPSHOT</t>
  </si>
  <si>
    <t>Acquirer</t>
  </si>
  <si>
    <t>DLF Limited (NSE: DLF)</t>
  </si>
  <si>
    <t>Target</t>
  </si>
  <si>
    <t>Awfis Space Solutions Ltd (NSE: AWFIS)</t>
  </si>
  <si>
    <t>Deal Date (assumed)</t>
  </si>
  <si>
    <t>10-Apr-2026</t>
  </si>
  <si>
    <t>Transaction Type</t>
  </si>
  <si>
    <t>Public-to-Public Acquisition (100% stake)</t>
  </si>
  <si>
    <t>Consideration</t>
  </si>
  <si>
    <t>Multiple scenarios: All Cash / All Stock / Mixed (50/50 Cash-Debt/Stock)</t>
  </si>
  <si>
    <t>Accounting</t>
  </si>
  <si>
    <t>Ind AS 103 — Business Combinations (Purchase Method)</t>
  </si>
  <si>
    <t>Regulatory</t>
  </si>
  <si>
    <t>SEBI Takeover Code, CCI approval, Stock Exchange approvals</t>
  </si>
  <si>
    <t>Currency</t>
  </si>
  <si>
    <t>All figures in INR Crores unless stated otherwise</t>
  </si>
  <si>
    <t>WORKBOOK CONTENTS</t>
  </si>
  <si>
    <t>1.  Cover</t>
  </si>
  <si>
    <t>This page — deal overview</t>
  </si>
  <si>
    <t>2.  Assumptions</t>
  </si>
  <si>
    <t>All key inputs with rationale &amp; sources</t>
  </si>
  <si>
    <t>3.  Acquirer_Financials</t>
  </si>
  <si>
    <t>DLF historical P&amp;L, B/S, CF (FY23–FY26E)</t>
  </si>
  <si>
    <t>4.  Target_Financials</t>
  </si>
  <si>
    <t>Awfis historical P&amp;L, B/S, CF (FY23–FY26E)</t>
  </si>
  <si>
    <t>5.  DCF</t>
  </si>
  <si>
    <t>Discounted cash flow valuation of Awfis</t>
  </si>
  <si>
    <t>6.  Trading_Comps</t>
  </si>
  <si>
    <t>Listed peer multiples-based valuation</t>
  </si>
  <si>
    <t>7.  Precedent_Transactions</t>
  </si>
  <si>
    <t>M&amp;A transaction multiples-based valuation</t>
  </si>
  <si>
    <t>8.  Football_Field</t>
  </si>
  <si>
    <t>Valuation range summary chart</t>
  </si>
  <si>
    <t>9.  Accretion_Dilution</t>
  </si>
  <si>
    <t>Pro forma EPS impact — 3 financing scenarios</t>
  </si>
  <si>
    <t>10. Sensitivity</t>
  </si>
  <si>
    <t>Offer price × stock-mix sensitivity tables</t>
  </si>
  <si>
    <t>11. Summary</t>
  </si>
  <si>
    <t>Recommendation &amp; deal thesis</t>
  </si>
  <si>
    <t>FORMATTING LEGEND</t>
  </si>
  <si>
    <t>Blue text</t>
  </si>
  <si>
    <t>Hardcoded input (change these to run scenarios)</t>
  </si>
  <si>
    <t>Black text</t>
  </si>
  <si>
    <t>Formula / calculation within sheet</t>
  </si>
  <si>
    <t>Green text</t>
  </si>
  <si>
    <t>Link pulling from another sheet</t>
  </si>
  <si>
    <t>Yellow fill</t>
  </si>
  <si>
    <t>Key assumption cell — tweak to sensitize output</t>
  </si>
  <si>
    <t>KEY ASSUMPTIONS</t>
  </si>
  <si>
    <t>All inputs with rationale, sources, and benchmarks</t>
  </si>
  <si>
    <t>Assumption</t>
  </si>
  <si>
    <t>Value</t>
  </si>
  <si>
    <t>Unit</t>
  </si>
  <si>
    <t>Rationale / Source</t>
  </si>
  <si>
    <t>1. MARKET DATA (as of 8-Apr-2026)</t>
  </si>
  <si>
    <t>DLF — Share Price (CMP)</t>
  </si>
  <si>
    <t>INR</t>
  </si>
  <si>
    <t>NSE closing price, 8-Apr-2026 (Kotak/Bajaj sources)</t>
  </si>
  <si>
    <t>DLF — Shares Outstanding (diluted)</t>
  </si>
  <si>
    <t>Cr shares</t>
  </si>
  <si>
    <t>Market Cap ₹1,40,737 Cr / CMP (Screener, FY26)</t>
  </si>
  <si>
    <t>DLF — Market Capitalisation</t>
  </si>
  <si>
    <t>₹ Cr</t>
  </si>
  <si>
    <t>→ price × Shares (calc)</t>
  </si>
  <si>
    <t>DLF — Net Debt (FY26E)</t>
  </si>
  <si>
    <t>Gross debt ~₹5,000 Cr less cash ~₹1,500 Cr (FY26 est)</t>
  </si>
  <si>
    <t>DLF — Enterprise Value</t>
  </si>
  <si>
    <t>→ mkt cap + net debt (calc)</t>
  </si>
  <si>
    <t>DLF — 52-Week High</t>
  </si>
  <si>
    <t>NSE 52-week high</t>
  </si>
  <si>
    <t>DLF — 52-Week Low</t>
  </si>
  <si>
    <t>NSE 52-week low</t>
  </si>
  <si>
    <t>DLF — Beta (5Y)</t>
  </si>
  <si>
    <t>x</t>
  </si>
  <si>
    <t>Yahoo Finance 5Y monthly beta ~0.33–1.1; mid-case 0.95</t>
  </si>
  <si>
    <t>DLF — Credit Rating</t>
  </si>
  <si>
    <t>CRISIL AA</t>
  </si>
  <si>
    <t>—</t>
  </si>
  <si>
    <t>DLF Cyber City long-term rating (CRISIL, 2025)</t>
  </si>
  <si>
    <t>Awfis — Share Price (CMP)</t>
  </si>
  <si>
    <t>NSE closing price, Feb-2026 (IndMoney/Tickertape)</t>
  </si>
  <si>
    <t>Awfis — Shares Outstanding (diluted)</t>
  </si>
  <si>
    <t>Market Cap ~₹2,308 Cr / CMP ~₹320 (FY26)</t>
  </si>
  <si>
    <t>Awfis — Market Capitalisation</t>
  </si>
  <si>
    <t>Awfis — Net Debt (FY26E)</t>
  </si>
  <si>
    <t>Lease liabilities (Ind AS 116) dominate; EV-MCap gap per Yahoo</t>
  </si>
  <si>
    <t>Awfis — Enterprise Value</t>
  </si>
  <si>
    <t>Awfis — 52-Week High</t>
  </si>
  <si>
    <t>Awfis — 52-Week Low</t>
  </si>
  <si>
    <t>Awfis — Beta</t>
  </si>
  <si>
    <t>High-growth small-cap proxy; peers 1.1–1.3</t>
  </si>
  <si>
    <t>2. DCF ASSUMPTIONS — TARGET (Awfis)</t>
  </si>
  <si>
    <t>Forecast Horizon</t>
  </si>
  <si>
    <t>years</t>
  </si>
  <si>
    <t>Standard IB horizon (FY27E–FY31E)</t>
  </si>
  <si>
    <t>Risk-Free Rate (India 10Y G-Sec)</t>
  </si>
  <si>
    <t>%</t>
  </si>
  <si>
    <t>India 10Y G-Sec ~7.0% (Apr-2026, Trading Economics)</t>
  </si>
  <si>
    <t>Equity Risk Premium (India)</t>
  </si>
  <si>
    <t>Damodaran India ERP (Jan 2026 update)</t>
  </si>
  <si>
    <t>Awfis Beta (levered)</t>
  </si>
  <si>
    <t>Same as market data section</t>
  </si>
  <si>
    <t>Cost of Equity (Ke)</t>
  </si>
  <si>
    <t>→ rf + β × ERP (CAPM)</t>
  </si>
  <si>
    <t>Pre-tax Cost of Debt (Kd)</t>
  </si>
  <si>
    <t>Awfis WACD; mid-rated NBFC/corp debt ~9.0–9.5%</t>
  </si>
  <si>
    <t>Effective Tax Rate</t>
  </si>
  <si>
    <t>India corporate tax rate (new regime, 25.17%)</t>
  </si>
  <si>
    <t>After-tax Cost of Debt</t>
  </si>
  <si>
    <t>→ kd × (1 - Tax)</t>
  </si>
  <si>
    <t>Debt Weight (Target capital structure)</t>
  </si>
  <si>
    <t>Awfis current D/(D+E) ~40% incl. lease liab</t>
  </si>
  <si>
    <t>Equity Weight</t>
  </si>
  <si>
    <t>→ 1 - debt weight</t>
  </si>
  <si>
    <t>WACC</t>
  </si>
  <si>
    <t>→ we×Ke + Wd×Kd×(1-T)</t>
  </si>
  <si>
    <t>Revenue Growth Y1 (FY27E)</t>
  </si>
  <si>
    <t>Mgmt guidance ~25–30%; flex market CAGR 20–25%</t>
  </si>
  <si>
    <t>Revenue Growth Y2 (FY28E)</t>
  </si>
  <si>
    <t>Step-down as base effect kicks in</t>
  </si>
  <si>
    <t>Revenue Growth Y3 (FY29E)</t>
  </si>
  <si>
    <t>Maturing growth phase</t>
  </si>
  <si>
    <t>Revenue Growth Y4 (FY30E)</t>
  </si>
  <si>
    <t>Gradual convergence</t>
  </si>
  <si>
    <t>Revenue Growth Y5 (FY31E)</t>
  </si>
  <si>
    <t>Terminal approach</t>
  </si>
  <si>
    <t>EBITDA Margin (steady-state)</t>
  </si>
  <si>
    <t>Awfis LTM margin ~33–36%, Ind AS 116 inflated</t>
  </si>
  <si>
    <t>D&amp;A as % of Revenue</t>
  </si>
  <si>
    <t>Heavy fitout amort + ROU asset amort</t>
  </si>
  <si>
    <t>CapEx as % of Revenue</t>
  </si>
  <si>
    <t>Maintenance + expansion; fit-out capex normalised</t>
  </si>
  <si>
    <t>Change in WC as % of Rev Δ</t>
  </si>
  <si>
    <t>Security deposits, client advances</t>
  </si>
  <si>
    <t>Terminal Growth Rate (g)</t>
  </si>
  <si>
    <t>Long-run India nominal GDP proxy, conservative</t>
  </si>
  <si>
    <t>3. DEAL ASSUMPTIONS</t>
  </si>
  <si>
    <t>Offer Price per Awfis Share</t>
  </si>
  <si>
    <t>~43% premium to CMP; within football field upper range</t>
  </si>
  <si>
    <t>Control Premium Implied</t>
  </si>
  <si>
    <t>→ (offer price / cmp) - 1</t>
  </si>
  <si>
    <t>Equity Purchase Consideration</t>
  </si>
  <si>
    <t>→ offer price × Awfis Diluted Shares</t>
  </si>
  <si>
    <t>Net Debt Assumed</t>
  </si>
  <si>
    <t>Same as market data</t>
  </si>
  <si>
    <t>Total Enterprise Value Offered</t>
  </si>
  <si>
    <t>→ equity + net debt</t>
  </si>
  <si>
    <t>Implied EV/LTM EBITDA Multiple</t>
  </si>
  <si>
    <t>→ ev / awfis fy26e ebitda</t>
  </si>
  <si>
    <t>Transaction Fees</t>
  </si>
  <si>
    <t>% of EV</t>
  </si>
  <si>
    <t>IB advisory, legal, regulatory (1.5% — India standard)</t>
  </si>
  <si>
    <t>Financing Fees</t>
  </si>
  <si>
    <t>% of Debt</t>
  </si>
  <si>
    <t>Loan arrangement fees</t>
  </si>
  <si>
    <t>Cost of New Acquisition Debt</t>
  </si>
  <si>
    <t>DLF CRISIL AA; 5Y corp bond ~8.5–9.0% (Apr-26)</t>
  </si>
  <si>
    <t>DLF Effective Tax Rate</t>
  </si>
  <si>
    <t>India corporate tax (new regime)</t>
  </si>
  <si>
    <t>DLF P/E ratio (implied)</t>
  </si>
  <si>
    <t>For stock-deal exchange ratio derivation</t>
  </si>
  <si>
    <t>4. SYNERGY ASSUMPTIONS (SECTOR BENCHMARKS)</t>
  </si>
  <si>
    <t>Cost Synergies (run-rate) — % of Target Revenue</t>
  </si>
  <si>
    <t>Real estate cost elimination (DLF owns spaces); 5–7% benchmark</t>
  </si>
  <si>
    <t>Revenue Synergies (run-rate) — % of Target Revenue</t>
  </si>
  <si>
    <t>Cross-sell to DLF tenant base; 3–5% benchmark (discounted)</t>
  </si>
  <si>
    <t>Total Synergies as % of Target Revenue</t>
  </si>
  <si>
    <t>→ SUM(run-rate)</t>
  </si>
  <si>
    <t>Synergy Phase-in Year 1</t>
  </si>
  <si>
    <t>25% in Y1</t>
  </si>
  <si>
    <t>Synergy Phase-in Year 2</t>
  </si>
  <si>
    <t>65% in Y2</t>
  </si>
  <si>
    <t>Synergy Phase-in Year 3</t>
  </si>
  <si>
    <t>100% in Y3</t>
  </si>
  <si>
    <t>One-time Integration Cost</t>
  </si>
  <si>
    <t>Estimated ~1x Year-1 synergies (standard benchmark)</t>
  </si>
  <si>
    <t>5. FINANCING SCENARIOS</t>
  </si>
  <si>
    <t>Scenario</t>
  </si>
  <si>
    <t>% Cash/Debt</t>
  </si>
  <si>
    <t>% Stock</t>
  </si>
  <si>
    <t>Description</t>
  </si>
  <si>
    <t>Scenario A: All Debt-Financed Cash</t>
  </si>
  <si>
    <t>100% cash via new debt issuance at 8.75%</t>
  </si>
  <si>
    <t>Scenario B: All Stock</t>
  </si>
  <si>
    <t>100% stock — DLF issues new shares at CMP</t>
  </si>
  <si>
    <t>Scenario C: Mixed (50/50)</t>
  </si>
  <si>
    <t>50% cash (debt-funded) + 50% stock</t>
  </si>
  <si>
    <t>DLF LIMITED — FINANCIAL SUMMARY</t>
  </si>
  <si>
    <t>Historical + projected, consolidated, ₹ Crores</t>
  </si>
  <si>
    <t>Particulars</t>
  </si>
  <si>
    <t>FY23A</t>
  </si>
  <si>
    <t>FY24A</t>
  </si>
  <si>
    <t>FY25A</t>
  </si>
  <si>
    <t>FY26E</t>
  </si>
  <si>
    <t>FY27E</t>
  </si>
  <si>
    <t>FY28E</t>
  </si>
  <si>
    <t>FY29E</t>
  </si>
  <si>
    <t>INCOME STATEMENT</t>
  </si>
  <si>
    <t>Revenue from Operations</t>
  </si>
  <si>
    <t>Growth %</t>
  </si>
  <si>
    <t>EBITDA</t>
  </si>
  <si>
    <t>EBITDA Margin %</t>
  </si>
  <si>
    <t>(-) Depreciation &amp; Amortisation</t>
  </si>
  <si>
    <t>EBIT</t>
  </si>
  <si>
    <t>(-) Interest Expense</t>
  </si>
  <si>
    <t>(+) Other Income</t>
  </si>
  <si>
    <t>Profit Before Tax</t>
  </si>
  <si>
    <t>(-) Tax</t>
  </si>
  <si>
    <t>PAT (Net Income)</t>
  </si>
  <si>
    <t>Diluted Shares Outstanding (Cr)</t>
  </si>
  <si>
    <t>EPS (₹)</t>
  </si>
  <si>
    <t>BALANCE SHEET — KEY ITEMS</t>
  </si>
  <si>
    <t>Total Debt</t>
  </si>
  <si>
    <t>Cash &amp; Equivalents</t>
  </si>
  <si>
    <t>Net Debt</t>
  </si>
  <si>
    <t>Total Equity</t>
  </si>
  <si>
    <t>Source: DLF Annual Reports FY23-FY25, Screener.in consolidated data, management guidance.</t>
  </si>
  <si>
    <t>FY26E onwards: author estimates based on sales bookings trajectory and historical margin trends.</t>
  </si>
  <si>
    <t>AWFIS SPACE SOLUTIONS — FINANCIAL SUMMARY</t>
  </si>
  <si>
    <t>(-) D&amp;A (incl. ROU amort)</t>
  </si>
  <si>
    <t>(-) Interest Expense (incl. lease)</t>
  </si>
  <si>
    <t>Total Debt (incl. lease liab)</t>
  </si>
  <si>
    <t>Source: Awfis Annual Reports FY23–FY25, Screener.in, Q2/Q3 FY26 results (Tickertape, BSE).</t>
  </si>
  <si>
    <t>FY26E onwards: author estimates based on seat additions guidance (247 centers, 170k seats).</t>
  </si>
  <si>
    <t>RATIO ANALYSIS — DLF &amp; AWFIS</t>
  </si>
  <si>
    <t>4-year historical trend + peer benchmark | All values computed live from Financial sheets</t>
  </si>
  <si>
    <t>Ratio</t>
  </si>
  <si>
    <t>DLF (Acquirer)</t>
  </si>
  <si>
    <t>Awfis (Target)</t>
  </si>
  <si>
    <t>Peer Benchmark</t>
  </si>
  <si>
    <t>Sector Median</t>
  </si>
  <si>
    <t>Commentary</t>
  </si>
  <si>
    <t>1. PROFITABILITY RATIOS</t>
  </si>
  <si>
    <t>EBITDA Margin</t>
  </si>
  <si>
    <t>DLF ~40% vs sector ~32%; Awfis ~34% (Ind AS 116 lease inflation)</t>
  </si>
  <si>
    <t>EBIT Margin</t>
  </si>
  <si>
    <t>DLF margins expanding; Awfis thin on EBIT due to high D&amp;A</t>
  </si>
  <si>
    <t>Net Profit Margin</t>
  </si>
  <si>
    <t>DLF 30%+ (luxury residential mix); Awfis 3-5% (recent profitability)</t>
  </si>
  <si>
    <t>Return on Equity (ROE)</t>
  </si>
  <si>
    <t>DLF low ROE due to large equity base (inventory-heavy); Awfis improving</t>
  </si>
  <si>
    <t>Return on Capital Employed</t>
  </si>
  <si>
    <t>DLF ROCE improving as asset turnover rises</t>
  </si>
  <si>
    <t>2. LIQUIDITY RATIOS</t>
  </si>
  <si>
    <t>Cash Ratio (Cash / Total Debt)</t>
  </si>
  <si>
    <t>Proxy for liquidity; DLF maintains ~25-30% cash against debt</t>
  </si>
  <si>
    <t>Interest Coverage (EBIT/Interest)</t>
  </si>
  <si>
    <t>DLF very comfortable (&gt;10x); Awfis tight (~1.5-2x) due to lease interest</t>
  </si>
  <si>
    <t>Interest Coverage (EBITDA/Interest)</t>
  </si>
  <si>
    <t>Softer metric; both well-covered on EBITDA basis</t>
  </si>
  <si>
    <t>3. SOLVENCY / LEVERAGE RATIOS</t>
  </si>
  <si>
    <t>Debt-to-Equity</t>
  </si>
  <si>
    <t>DLF very conservative (~0.12x); Awfis elevated (~2x incl. lease liab)</t>
  </si>
  <si>
    <t>Net Debt / Equity</t>
  </si>
  <si>
    <t>DLF near-net-cash profile; Awfis leveraged</t>
  </si>
  <si>
    <t>Net Debt / EBITDA</t>
  </si>
  <si>
    <t>DLF &lt;1x (investment-grade); Awfis ~2.3x (reasonable for flex-op)</t>
  </si>
  <si>
    <t>Debt / Total Assets (proxy)</t>
  </si>
  <si>
    <t>DLF asset-light on debt; Awfis 65-70% levered</t>
  </si>
  <si>
    <t>4. EFFICIENCY / TURNOVER RATIOS</t>
  </si>
  <si>
    <t>Asset Turnover (Rev/Total Capital)</t>
  </si>
  <si>
    <t>Awfis higher turnover (flex-op is capital-light vs land banking)</t>
  </si>
  <si>
    <t>Equity Turnover (Rev/Equity)</t>
  </si>
  <si>
    <t>Awfis ~2x vs DLF ~0.2x — reflects different business models</t>
  </si>
  <si>
    <t>5. VALUATION RATIOS (at current CMP)</t>
  </si>
  <si>
    <t>P/E Ratio</t>
  </si>
  <si>
    <t>Real estate sector ~28-35x; Awfis at premium</t>
  </si>
  <si>
    <t>P/B Ratio</t>
  </si>
  <si>
    <t>DLF ~3.1x; Awfis ~4.5x (high-growth premium)</t>
  </si>
  <si>
    <t>EV/EBITDA</t>
  </si>
  <si>
    <t>DLF at significant discount to EBITDA mult; Awfis in-line</t>
  </si>
  <si>
    <t>EV/Sales</t>
  </si>
  <si>
    <t>DLF trading at ~16x sales (luxury premium)</t>
  </si>
  <si>
    <t>Dividend Yield (DLF only)</t>
  </si>
  <si>
    <t>N/A</t>
  </si>
  <si>
    <t>DLF yield rising as price fell; Awfis doesn't pay div</t>
  </si>
  <si>
    <t>KEY OBSERVATIONS FROM RATIO ANALYSIS</t>
  </si>
  <si>
    <t>DLF:</t>
  </si>
  <si>
    <t>• Best-in-class profitability: EBITDA margins ~40% (sector median ~32%) driven by luxury-residential mix</t>
  </si>
  <si>
    <t>• Conservative balance sheet: Net Debt/EBITDA &lt;1.0x; Debt/Equity ~0.12x — significant headroom for acquisitions</t>
  </si>
  <si>
    <t>• Low ROE (~10-11%) reflects inventory-heavy model; land bank monetisation should improve this over FY27-30</t>
  </si>
  <si>
    <t>• Trading at premium P/E (~42x) and P/B (~3x) — market pricing in luxury pipeline and DLF5 completion</t>
  </si>
  <si>
    <t>• Strong interest coverage (&gt;15x) and cash generation from rental arm provide deal flexibility</t>
  </si>
  <si>
    <t>Awfis:</t>
  </si>
  <si>
    <t>• Asset-light, capital-efficient model: Revenue/Equity ~2.5x vs DLF's 0.2x — validates flex-operator thesis</t>
  </si>
  <si>
    <t>• EBITDA margins 33-36% inflated by Ind AS 116 lease accounting; normalised EBITDA margin closer to 15-18%</t>
  </si>
  <si>
    <t>• Tight interest coverage (~2x EBIT basis) due to lease liabilities — suggests financing constraint</t>
  </si>
  <si>
    <t>• Net Debt/EBITDA ~2.3x is high for a small-cap; acquisition by DLF would de-risk capital structure</t>
  </si>
  <si>
    <t>• Improving profitability trajectory: from marginal profit in FY23 to meaningful margins by FY26</t>
  </si>
  <si>
    <t>Strategic Rationale (from ratios):</t>
  </si>
  <si>
    <t>• DLF's balance sheet strength + Awfis's asset-light operating model = highly complementary</t>
  </si>
  <si>
    <t>• DLF can refinance Awfis's lease liabilities at lower cost (DLF borrows ~8.75%, Awfis effective ~11%+)</t>
  </si>
  <si>
    <t>• Consolidated Net Debt/EBITDA remains below 1.5x even post-acquisition — retains investment-grade</t>
  </si>
  <si>
    <t>• Combined entity would trade at a blended multiple, potentially re-rating DLF to a higher valuation</t>
  </si>
  <si>
    <t>Source: All ratios computed live from Acquirer_Financials and Target_Financials sheets. Peer medians from Trading_Comps sheet and sector averages (Screener.in). Updated: Apr-2026.</t>
  </si>
  <si>
    <t>PRICE &amp; VOLUME TREND ANALYSIS</t>
  </si>
  <si>
    <t>Monthly historical data, returns, volatility, key events | DLF &amp; Awfis</t>
  </si>
  <si>
    <t>SECTION 1 — DLF LIMITED (NSE: DLF)</t>
  </si>
  <si>
    <t>Month-End</t>
  </si>
  <si>
    <t>Open (₹)</t>
  </si>
  <si>
    <t>High (₹)</t>
  </si>
  <si>
    <t>Low (₹)</t>
  </si>
  <si>
    <t>Close (₹)</t>
  </si>
  <si>
    <t>Volume (Lakh)</t>
  </si>
  <si>
    <t>Monthly Return</t>
  </si>
  <si>
    <t>52W High</t>
  </si>
  <si>
    <t>52W Low</t>
  </si>
  <si>
    <t>From 52W High</t>
  </si>
  <si>
    <t>From 52W Low</t>
  </si>
  <si>
    <t>Apr-2022</t>
  </si>
  <si>
    <t>Jul-2022</t>
  </si>
  <si>
    <t>Oct-2022</t>
  </si>
  <si>
    <t>Jan-2023</t>
  </si>
  <si>
    <t>Apr-2023</t>
  </si>
  <si>
    <t>Jul-2023</t>
  </si>
  <si>
    <t>Oct-2023</t>
  </si>
  <si>
    <t>Jan-2024</t>
  </si>
  <si>
    <t>Apr-2024</t>
  </si>
  <si>
    <t>Jul-2024</t>
  </si>
  <si>
    <t>Oct-2024</t>
  </si>
  <si>
    <t>Dec-2024</t>
  </si>
  <si>
    <t>Jan-2025</t>
  </si>
  <si>
    <t>Feb-2025</t>
  </si>
  <si>
    <t>Mar-2025</t>
  </si>
  <si>
    <t>Apr-2025</t>
  </si>
  <si>
    <t>Jul-2025</t>
  </si>
  <si>
    <t>Oct-2025</t>
  </si>
  <si>
    <t>Jan-2026</t>
  </si>
  <si>
    <t>Mar-2026</t>
  </si>
  <si>
    <t>Apr-2026</t>
  </si>
  <si>
    <t>DLF — KEY METRICS</t>
  </si>
  <si>
    <t>52-Week High</t>
  </si>
  <si>
    <t>52-Week Low</t>
  </si>
  <si>
    <t>All-Period High</t>
  </si>
  <si>
    <t>All-Period Low</t>
  </si>
  <si>
    <t>Current Price</t>
  </si>
  <si>
    <t>% Off All-Period High</t>
  </si>
  <si>
    <t>Average Monthly Volume (Lakh)</t>
  </si>
  <si>
    <t>Average Monthly Return</t>
  </si>
  <si>
    <t>Monthly Return Volatility (σ)</t>
  </si>
  <si>
    <t>Annualised Volatility (σ×√12)</t>
  </si>
  <si>
    <t>4-Year Total Return</t>
  </si>
  <si>
    <t>4-Year CAGR (approx)</t>
  </si>
  <si>
    <t>DLF — KEY EVENTS DRIVING PRICE MOVEMENTS</t>
  </si>
  <si>
    <t>Date</t>
  </si>
  <si>
    <t>Event</t>
  </si>
  <si>
    <t>Price Impact</t>
  </si>
  <si>
    <t>Apr 2023</t>
  </si>
  <si>
    <t>Launch of 'The Arbour' luxury project (₹8,000 Cr) at Sector 63 Gurgaon; strong pre-booking response</t>
  </si>
  <si>
    <t>↑ Stock re-rated from ₹395 → ₹465 (+18%)</t>
  </si>
  <si>
    <t>Q4 FY24</t>
  </si>
  <si>
    <t>Record FY24 sales bookings of ₹14,778 Cr (+103% from FY22); 'Privana South' launch in Gurgaon</t>
  </si>
  <si>
    <t>↑ Stock hit ₹935 (52W high at time)</t>
  </si>
  <si>
    <t>Dec 2024</t>
  </si>
  <si>
    <t>All-time high ~₹897; Q3 FY25 results showed resilient luxury demand; REIT spin-off buzz</t>
  </si>
  <si>
    <t>↑ Sector-wide rally on IT hiring recovery</t>
  </si>
  <si>
    <t>Q1 FY26</t>
  </si>
  <si>
    <t>Stock corrected from ATH due to: (a) election uncertainty (b) broader midcap correction (c) delayed Dahlias launch</t>
  </si>
  <si>
    <t>↓ -33% from peak; 52W low ₹489 in Apr-25</t>
  </si>
  <si>
    <t>Q2 FY26</t>
  </si>
  <si>
    <t>Supreme Court interim order (Feb-2026) on 'The Primus' project — 624 apartments under inquiry</t>
  </si>
  <si>
    <t>↓ Near-term overhang; stock range-bound 600-700</t>
  </si>
  <si>
    <t>Mar 2026</t>
  </si>
  <si>
    <t>Asset monetisation — DLF sold TechPark II + 17.75-acre Kolkata land for ₹710 Cr to Srijan</t>
  </si>
  <si>
    <t>↔ Neutral; deleveraging signal</t>
  </si>
  <si>
    <t>Apr 2026</t>
  </si>
  <si>
    <t>Q4 FY26 results awaited; focus on FY27 launch pipeline and Dahlias monetisation</t>
  </si>
  <si>
    <t>Current: ₹568</t>
  </si>
  <si>
    <t>SECTION 2 — AWFIS SPACE SOLUTIONS (NSE: AWFIS)</t>
  </si>
  <si>
    <t>May-2024</t>
  </si>
  <si>
    <t>May-2025</t>
  </si>
  <si>
    <t>Sep-2025</t>
  </si>
  <si>
    <t>Nov-2025</t>
  </si>
  <si>
    <t>Feb-2026</t>
  </si>
  <si>
    <t>AWFIS — KEY METRICS</t>
  </si>
  <si>
    <t>IPO Listing Price (30-May-2024)</t>
  </si>
  <si>
    <t>All-Time High (since IPO)</t>
  </si>
  <si>
    <t>All-Time Low (since IPO)</t>
  </si>
  <si>
    <t>% Off All-Time High</t>
  </si>
  <si>
    <t>Return Since IPO</t>
  </si>
  <si>
    <t>AWFIS — KEY EVENTS DRIVING PRICE MOVEMENTS</t>
  </si>
  <si>
    <t>May 2024</t>
  </si>
  <si>
    <t>IPO at ₹383; listed at ₹435 (+13.6% listing gain); India's 1st listed flex-workspace</t>
  </si>
  <si>
    <t>Listed at ₹435</t>
  </si>
  <si>
    <t>Jun-Oct 2024</t>
  </si>
  <si>
    <t>Strong post-IPO rally on expansion news: 200+ centers, seat count crossing 130k</t>
  </si>
  <si>
    <t>↑ Stock rallied to ₹620 (+43% from listing)</t>
  </si>
  <si>
    <t>All-time high ~₹719 on Q2 FY25 results (revenue +27% YoY, EBITDA margin expansion)</t>
  </si>
  <si>
    <t>Peak: 88% above listing</t>
  </si>
  <si>
    <t>Correction began: small-cap selling, flex-sector profitability concerns, Q3 FY25 PAT -47% YoY</t>
  </si>
  <si>
    <t>↓ Sharp correction from ₹719 to ₹485</t>
  </si>
  <si>
    <t>Sep-Nov 2025</t>
  </si>
  <si>
    <t>Continued de-rating; Q2 FY26 PAT fell 58.7% despite revenue +25%; margin pressure visible</t>
  </si>
  <si>
    <t>↓ Further decline to ₹335</t>
  </si>
  <si>
    <t>Feb 2026</t>
  </si>
  <si>
    <t>CFO resignation (Ravi Dugar → Sumit Rochlani); governance/execution concerns added to pressure</t>
  </si>
  <si>
    <t>↓ Near 52W low ~₹320</t>
  </si>
  <si>
    <t>Range-bound at ₹325-340; speculation of strategic-buyer interest starting to build</t>
  </si>
  <si>
    <t>Current: ₹331 (-54% from ATH)</t>
  </si>
  <si>
    <t>TECHNICAL OBSERVATIONS &amp; DEAL IMPLICATIONS</t>
  </si>
  <si>
    <t>DLF — Technical Posture:</t>
  </si>
  <si>
    <t>• Stock has corrected ~36% from its Dec-2024 ATH of ~₹897, now trading near its 200-day support</t>
  </si>
  <si>
    <t>• Annualised volatility ~30-35% — moderate for a large-cap real estate play</t>
  </si>
  <si>
    <t>• Volume profile shows accumulation at the ₹540-570 range — institutional buying zone</t>
  </si>
  <si>
    <t>• 4-year CAGR of ~9-10% lags sector peers (Prestige +50% CAGR) — DLF has underperformed</t>
  </si>
  <si>
    <t>• Current correction creates an attractive entry point for a strategic acquisition announcement</t>
  </si>
  <si>
    <t>Awfis — Technical Posture:</t>
  </si>
  <si>
    <t>• Classic IPO pump-and-dump pattern: 88% rally in 6 months → 54% drawdown over next 12 months</t>
  </si>
  <si>
    <t>• Annualised volatility ~45-55% — very high, reflects small-cap + new-listing risk premia</t>
  </si>
  <si>
    <t>• Trading volumes have halved from peak (310 lakh → 130 lakh) — interest waning</t>
  </si>
  <si>
    <t>• Currently at ~54% discount to ATH, making it acquisition-friendly from a valuation standpoint</t>
  </si>
  <si>
    <t>• Lock-in expiry (pre-IPO investors) and anchor investor exits likely contributed to selling pressure</t>
  </si>
  <si>
    <t>Deal Timing Implications:</t>
  </si>
  <si>
    <t>• Both stocks are near 52-week lows — unusually favourable setup for an M&amp;A transaction</t>
  </si>
  <si>
    <t>• DLF's correction means stock-financed scenarios face lower dilution (higher exchange ratio efficiency)</t>
  </si>
  <si>
    <t>• Awfis's beaten-down price means 43% control premium (₹475) is still below its 12-month-old peak</t>
  </si>
  <si>
    <t>• Announcement of the deal would likely be positively received by both investor bases:</t>
  </si>
  <si>
    <t xml:space="preserve">  - DLF investors: diversification into annuity revenue, captive demand monetisation</t>
  </si>
  <si>
    <t xml:space="preserve">  - Awfis investors: exit at a significant premium to distressed CMP</t>
  </si>
  <si>
    <t>• Risk: if DLF stock falls further before announcement, stock-deal economics deteriorate</t>
  </si>
  <si>
    <t>Sources: NSE historical data, Screener.in, Yahoo Finance, Business Standard, company announcements to exchanges. Monthly values reconstructed from quarterly/event-based data; actual daily closes will differ slightly.</t>
  </si>
  <si>
    <t>AWFIS — DCF VALUATION (FCFF APPROACH)</t>
  </si>
  <si>
    <t>5-Year Forecast + Terminal Value | ₹ Crores</t>
  </si>
  <si>
    <t>Terminal Growth (g)</t>
  </si>
  <si>
    <t>Tax Rate</t>
  </si>
  <si>
    <t>FY30E</t>
  </si>
  <si>
    <t>FY31E</t>
  </si>
  <si>
    <t>Revenue</t>
  </si>
  <si>
    <t>(-) D&amp;A</t>
  </si>
  <si>
    <t>(-) Tax on EBIT</t>
  </si>
  <si>
    <t>NOPAT</t>
  </si>
  <si>
    <t>(+) D&amp;A</t>
  </si>
  <si>
    <t>(-) CapEx</t>
  </si>
  <si>
    <t>(-) Δ Working Capital</t>
  </si>
  <si>
    <t>Free Cash Flow to Firm (FCFF)</t>
  </si>
  <si>
    <t>Discount Period</t>
  </si>
  <si>
    <t>Discount Factor</t>
  </si>
  <si>
    <t>PV of FCFF</t>
  </si>
  <si>
    <t>TERMINAL VALUE (Gordon Growth)</t>
  </si>
  <si>
    <t>FY31E FCFF × (1+g)</t>
  </si>
  <si>
    <t>Terminal Value (end of FY31E)</t>
  </si>
  <si>
    <t>PV of Terminal Value</t>
  </si>
  <si>
    <t>ENTERPRISE VALUE SUMMARY</t>
  </si>
  <si>
    <t>Sum of PV of Explicit FCFF</t>
  </si>
  <si>
    <t>(+) PV of Terminal Value</t>
  </si>
  <si>
    <t>Enterprise Value (Base Case)</t>
  </si>
  <si>
    <t>(-) Net Debt (FY26E)</t>
  </si>
  <si>
    <t>Equity Value</t>
  </si>
  <si>
    <t>Implied Value per Share (₹)</t>
  </si>
  <si>
    <t>DCF SENSITIVITY — Implied Value per Share (₹)</t>
  </si>
  <si>
    <t>WACC ↓ / g →</t>
  </si>
  <si>
    <t>DCF VALUE RANGE (for Football Field)</t>
  </si>
  <si>
    <t>Low</t>
  </si>
  <si>
    <t>Mid (base case)</t>
  </si>
  <si>
    <t>High</t>
  </si>
  <si>
    <t>TRADING COMPARABLES ANALYSIS</t>
  </si>
  <si>
    <t>Listed flex-workspace &amp; commercial real estate peers | ₹ Crores</t>
  </si>
  <si>
    <t>Company</t>
  </si>
  <si>
    <t>Mkt Cap</t>
  </si>
  <si>
    <t>EV</t>
  </si>
  <si>
    <t>EV/Rev</t>
  </si>
  <si>
    <t>P/E</t>
  </si>
  <si>
    <t>IWG plc (UK, $GBP)</t>
  </si>
  <si>
    <t>WeWork Inc. (post-emerge)</t>
  </si>
  <si>
    <t>N/M</t>
  </si>
  <si>
    <t>Embassy Office Parks REIT</t>
  </si>
  <si>
    <t>Mindspace Business Parks REIT</t>
  </si>
  <si>
    <t>Nexus Select Trust</t>
  </si>
  <si>
    <t>Prestige Estates Projects</t>
  </si>
  <si>
    <t>Phoenix Mills</t>
  </si>
  <si>
    <t>Brookfield India REIT</t>
  </si>
  <si>
    <t>Minimum</t>
  </si>
  <si>
    <t>25th Percentile</t>
  </si>
  <si>
    <t>Median</t>
  </si>
  <si>
    <t>Mean</t>
  </si>
  <si>
    <t>75th Percentile</t>
  </si>
  <si>
    <t>Maximum</t>
  </si>
  <si>
    <t>APPLICATION TO AWFIS — Implied Valuation</t>
  </si>
  <si>
    <t>Awfis FY26E EBITDA (₹ Cr)</t>
  </si>
  <si>
    <t>Awfis Net Debt (₹ Cr)</t>
  </si>
  <si>
    <t>Awfis Diluted Shares (Cr)</t>
  </si>
  <si>
    <t>Multiple (EV/EBITDA)</t>
  </si>
  <si>
    <t>Implied EV</t>
  </si>
  <si>
    <t>Implied Equity</t>
  </si>
  <si>
    <t>Implied Price (₹)</t>
  </si>
  <si>
    <t>Low (25th pct)</t>
  </si>
  <si>
    <t>Mid (Median)</t>
  </si>
  <si>
    <t>High (75th pct)</t>
  </si>
  <si>
    <t>Source: Screener.in, NSE/BSE filings, Q3 FY26 results, investor presentations. All figures approximate for illustrative academic use.</t>
  </si>
  <si>
    <t>PRECEDENT TRANSACTIONS ANALYSIS</t>
  </si>
  <si>
    <t>Recent M&amp;A deals in flex-workspace / commercial real estate | ₹ Crores</t>
  </si>
  <si>
    <t>Year</t>
  </si>
  <si>
    <t>Deal Value</t>
  </si>
  <si>
    <t>Target Rev</t>
  </si>
  <si>
    <t>Target EBITDA</t>
  </si>
  <si>
    <t>Smartworks (stake)</t>
  </si>
  <si>
    <t>TPG/Keppel</t>
  </si>
  <si>
    <t>Table Space</t>
  </si>
  <si>
    <t>Hillhouse Capital</t>
  </si>
  <si>
    <t>WeWork India (stake)</t>
  </si>
  <si>
    <t>Embassy Group</t>
  </si>
  <si>
    <t>Indiqube</t>
  </si>
  <si>
    <t>MPL/Westbridge</t>
  </si>
  <si>
    <t>91Springboard</t>
  </si>
  <si>
    <t>Investor consortium</t>
  </si>
  <si>
    <t>The Executive Centre</t>
  </si>
  <si>
    <t>HPEF</t>
  </si>
  <si>
    <t>Spaces (pan-India)</t>
  </si>
  <si>
    <t>IWG expansion</t>
  </si>
  <si>
    <t>Simpliwork Offices</t>
  </si>
  <si>
    <t>Actis</t>
  </si>
  <si>
    <t>Note: Transaction values illustrative for academic use; precedents include control premia (20–35% typical).</t>
  </si>
  <si>
    <t>FOOTBALL FIELD — VALUATION RANGE SUMMARY</t>
  </si>
  <si>
    <t>Awfis Implied Value per Share (₹) across methodologies</t>
  </si>
  <si>
    <t>Methodology</t>
  </si>
  <si>
    <t>Width (for chart)</t>
  </si>
  <si>
    <t>Midpoint (₹)</t>
  </si>
  <si>
    <t>52-Week Trading Range</t>
  </si>
  <si>
    <t>DCF (Sensitized)</t>
  </si>
  <si>
    <t>Trading Comparables</t>
  </si>
  <si>
    <t>Precedent Transactions</t>
  </si>
  <si>
    <t>Current Market Price (CMP)</t>
  </si>
  <si>
    <t>Proposed Offer Price</t>
  </si>
  <si>
    <t>Premium to CMP</t>
  </si>
  <si>
    <t>KEY OBSERVATIONS</t>
  </si>
  <si>
    <t>• The proposed offer price of ₹475 sits at the conservative end of the valuation range,</t>
  </si>
  <si>
    <t xml:space="preserve">  below DCF mid-case (~₹596) and well below trading comps (~₹939–1,234).</t>
  </si>
  <si>
    <t>• Precedent transactions imply ₹784–832, embedding 20–35% control premia — supports the offer.</t>
  </si>
  <si>
    <t>• At ₹475, offer represents ~43% premium to Awfis CMP of ₹331 — in line with Indian M&amp;A norms (30–40%).</t>
  </si>
  <si>
    <t>• The overlap zone across DCF, Precedents, and Trading Comps bounds is approximately ₹596–832,</t>
  </si>
  <si>
    <t xml:space="preserve">  suggesting a defensible negotiating ceiling of ~₹800 if competitive bidding emerges.</t>
  </si>
  <si>
    <t>EPS ACCRETION / DILUTION — 6 FINANCING MIX SCENARIOS</t>
  </si>
  <si>
    <t>Pro forma DLF EPS impact across combinations of Cash, Debt, and Stock | ₹ Crores</t>
  </si>
  <si>
    <t>DEAL INPUTS (from Assumptions)</t>
  </si>
  <si>
    <t>Offer Price per Awfis Share (₹)</t>
  </si>
  <si>
    <t>Equity Consideration (₹ Cr)</t>
  </si>
  <si>
    <t>Awfis Net Debt Assumed (₹ Cr)</t>
  </si>
  <si>
    <t>Total Purchase Price incl. Debt</t>
  </si>
  <si>
    <t>DLF CMP (₹)</t>
  </si>
  <si>
    <t>DLF Diluted Shares (Cr)</t>
  </si>
  <si>
    <t>New Debt Interest Rate</t>
  </si>
  <si>
    <t>Foregone Yield on Balance-Sheet Cash</t>
  </si>
  <si>
    <t>DLF Tax Rate</t>
  </si>
  <si>
    <t>STANDALONE FY27E FINANCIALS</t>
  </si>
  <si>
    <t>Item</t>
  </si>
  <si>
    <t>DLF</t>
  </si>
  <si>
    <t>Awfis</t>
  </si>
  <si>
    <t>Combined (pre-adj)</t>
  </si>
  <si>
    <t>Revenue (FY27E)</t>
  </si>
  <si>
    <t>EBITDA (FY27E)</t>
  </si>
  <si>
    <t>PAT (FY27E)</t>
  </si>
  <si>
    <t>DLF Standalone EPS (₹)</t>
  </si>
  <si>
    <t>SYNERGIES (FY27E — Year 1 phase-in 25%)</t>
  </si>
  <si>
    <t>Total Synergies (% of Target Rev)</t>
  </si>
  <si>
    <t>Run-rate Synergy (₹ Cr)</t>
  </si>
  <si>
    <t>Year-1 Phase-in %</t>
  </si>
  <si>
    <t>Year-1 After-tax Synergy</t>
  </si>
  <si>
    <t>Illustrative PPA D&amp;A (after-tax, ₹ Cr)</t>
  </si>
  <si>
    <t>SCENARIO MATRIX — 6 FINANCING COMBINATIONS</t>
  </si>
  <si>
    <t>Scenario Name</t>
  </si>
  <si>
    <t>1: All Cash (BS)</t>
  </si>
  <si>
    <t>2: All Debt</t>
  </si>
  <si>
    <t>3: All Stock</t>
  </si>
  <si>
    <t>4: Cash + Debt (20/80)</t>
  </si>
  <si>
    <t>5: Debt + Stock (50/50)</t>
  </si>
  <si>
    <t>6: Mixed (10/40/50)</t>
  </si>
  <si>
    <t>% from Balance Sheet Cash</t>
  </si>
  <si>
    <t>% from New Debt</t>
  </si>
  <si>
    <t>% from Stock Issuance</t>
  </si>
  <si>
    <t>Total (check = 100%)</t>
  </si>
  <si>
    <t>CONSIDERATION BREAKDOWN (₹ Cr)</t>
  </si>
  <si>
    <t>Cash Used (₹ Cr)</t>
  </si>
  <si>
    <t>New Debt Raised (₹ Cr)</t>
  </si>
  <si>
    <t>Stock Value (₹ Cr)</t>
  </si>
  <si>
    <t>New DLF Shares Issued (Cr)</t>
  </si>
  <si>
    <t>PRO FORMA PAT BUILD (₹ Cr)</t>
  </si>
  <si>
    <t>DLF Standalone PAT</t>
  </si>
  <si>
    <t>(+) Awfis PAT</t>
  </si>
  <si>
    <t>(+) After-tax Synergies (Yr 1)</t>
  </si>
  <si>
    <t>(-) After-tax Interest on New Debt</t>
  </si>
  <si>
    <t>(-) Foregone Other Income (after-tax)</t>
  </si>
  <si>
    <t>(-) PPA D&amp;A (after-tax)</t>
  </si>
  <si>
    <t>Pro Forma PAT</t>
  </si>
  <si>
    <t>SHARE COUNT &amp; PRO FORMA EPS</t>
  </si>
  <si>
    <t>DLF Standalone Shares (Cr)</t>
  </si>
  <si>
    <t>(+) New Shares Issued</t>
  </si>
  <si>
    <t>Pro Forma Diluted Shares</t>
  </si>
  <si>
    <t>Pro Forma EPS (₹)</t>
  </si>
  <si>
    <t>Standalone EPS (₹)</t>
  </si>
  <si>
    <t>Accretion / (Dilution) ₹</t>
  </si>
  <si>
    <t>Accretion / (Dilution) %</t>
  </si>
  <si>
    <t>CREDIT METRICS IMPACT</t>
  </si>
  <si>
    <t>DLF Existing Net Debt (FY26E)</t>
  </si>
  <si>
    <t>(+) Awfis Net Debt Assumed</t>
  </si>
  <si>
    <t>(+) New Acquisition Debt</t>
  </si>
  <si>
    <t>(-) Cash Used</t>
  </si>
  <si>
    <t>Pro Forma Net Debt</t>
  </si>
  <si>
    <t>Pro Forma Combined EBITDA</t>
  </si>
  <si>
    <t>Pro Forma Net Debt / EBITDA (x)</t>
  </si>
  <si>
    <t>Notes: (1) 'Balance sheet cash' has no interest cost but an opportunity cost of 6% pre-tax (foregone other income).</t>
  </si>
  <si>
    <t>(2) Scenario 1 (100% BS Cash) is financially infeasible — DLF FY26E cash ~₹1,500 Cr vs ₹3,420 Cr needed. Shown for benchmark only.</t>
  </si>
  <si>
    <t>(3) New shares issued at DLF CMP of ₹568.25 (no IPO discount); real deals often issue at 3-5% discount.</t>
  </si>
  <si>
    <t>(4) Credit impact: DLF's current Net Debt/EBITDA ~0.8x; investment-grade ceiling typically 2.0–2.5x for real estate.</t>
  </si>
  <si>
    <t>(5) Year-1 only; deal turns more accretive by Year 3 as synergies ramp from 25% → 65% → 100%.</t>
  </si>
  <si>
    <t>(6) To create custom scenarios, edit the yellow % cells in rows 34-36 — ensure each column sums to 100%.</t>
  </si>
  <si>
    <t>SENSITIVITY ANALYSIS</t>
  </si>
  <si>
    <t>Year-1 EPS Accretion/(Dilution) — Offer Price × % Stock Mix (Scenario C)</t>
  </si>
  <si>
    <t>KEY CONSTANTS (pulled)</t>
  </si>
  <si>
    <t>DLF Standalone PAT FY27E (₹ Cr)</t>
  </si>
  <si>
    <t>Awfis PAT FY27E (₹ Cr)</t>
  </si>
  <si>
    <t>After-tax Synergies Year 1 (₹ Cr)</t>
  </si>
  <si>
    <t>PPA D&amp;A (after-tax) (₹ Cr)</t>
  </si>
  <si>
    <t>DLF Standalone EPS FY27E (₹)</t>
  </si>
  <si>
    <t>TABLE 1 — EPS ACCRETION/(DILUTION) %  |  Offer Price ↓ / % Stock →</t>
  </si>
  <si>
    <t>Offer Price ↓</t>
  </si>
  <si>
    <t>Interpretation: green = accretive, red = dilutive. All values are Year-1; synergies phase in 25% → 65% → 100% by Year 3.</t>
  </si>
  <si>
    <t>TABLE 2 — EPS ACCRETION/(DILUTION) %  |  Offer Price ↓ / Synergy Realization %</t>
  </si>
  <si>
    <t>Table 2 assumes 50/50 cash-stock financing; synergies scale from 50% (pessimistic) to 150% (upside) of base estimate.</t>
  </si>
  <si>
    <t>BREAKEVEN SYNERGY ANALYSIS (at Base Offer ₹475, Scenario 5: Debt+Stock 50/50)</t>
  </si>
  <si>
    <t>Current Year-1 Accretion/(Dilution)</t>
  </si>
  <si>
    <t>Required Additional After-tax PAT for Break-Even (₹ Cr)</t>
  </si>
  <si>
    <t>As % of Target Revenue</t>
  </si>
  <si>
    <t>Note: If pre-tax synergies as % of Awfis revenue exceed this breakeven threshold, the deal turns accretive in Year 1.</t>
  </si>
  <si>
    <t>TRANSACTION SUMMARY &amp; RECOMMENDATION</t>
  </si>
  <si>
    <t>1. VALUATION SUMMARY — AWFIS</t>
  </si>
  <si>
    <t>Mid (₹)</t>
  </si>
  <si>
    <t>Comment</t>
  </si>
  <si>
    <t>DCF (FCFF, 5Y + TV)</t>
  </si>
  <si>
    <t>Base WACC 12.4%, g 5.0%</t>
  </si>
  <si>
    <t>8 listed flex/REIT peers; EV/EBITDA</t>
  </si>
  <si>
    <t>8 flex-workspace M&amp;A deals</t>
  </si>
  <si>
    <t>Awfis NSE history</t>
  </si>
  <si>
    <t>As of 8-Apr-2026</t>
  </si>
  <si>
    <t>PROPOSED OFFER PRICE</t>
  </si>
  <si>
    <t>~43% premium to CMP</t>
  </si>
  <si>
    <t>2. DEAL ECONOMICS</t>
  </si>
  <si>
    <t>Offer Price per Share (₹)</t>
  </si>
  <si>
    <t>Control Premium over CMP</t>
  </si>
  <si>
    <t>Plus: Net Debt Assumed (₹ Cr)</t>
  </si>
  <si>
    <t>Total Enterprise Value (₹ Cr)</t>
  </si>
  <si>
    <t>Implied EV / FY26E EBITDA (x)</t>
  </si>
  <si>
    <t>Implied EV / FY26E Revenue (x)</t>
  </si>
  <si>
    <t>DLF Trailing P/E (x)</t>
  </si>
  <si>
    <t>3. EPS IMPACT — YEAR 1 (FY27E)</t>
  </si>
  <si>
    <t>Accretion/(Dilution)</t>
  </si>
  <si>
    <t>1 — All Balance-Sheet Cash</t>
  </si>
  <si>
    <t>2 — All Debt</t>
  </si>
  <si>
    <t>3 — All Stock</t>
  </si>
  <si>
    <t>4 — Cash + Debt (20/80)</t>
  </si>
  <si>
    <t>5 — Debt + Stock (50/50)</t>
  </si>
  <si>
    <t>6 — Mixed (10% Cash / 40% Debt / 50% Stock)</t>
  </si>
  <si>
    <t>4. RECOMMENDATION</t>
  </si>
  <si>
    <t>PROCEED — Recommended Structure: Scenario 3 (All-Stock) or Scenario 6 (10/40/50 Mixed)</t>
  </si>
  <si>
    <t>Rationale:</t>
  </si>
  <si>
    <t>• At offer price of ₹475, the deal sits below DCF base case (~₹596) and well below trading</t>
  </si>
  <si>
    <t xml:space="preserve">  comps (~₹1,090 median) and precedent transactions (~₹809 median) — strong value capture.</t>
  </si>
  <si>
    <t>• Scenario 3 (All-Stock): best EPS outcome (-0.5% Year 1, near-neutral) AND best credit</t>
  </si>
  <si>
    <t xml:space="preserve">  metrics (Net Debt/EBITDA only 0.78x). Ideal if DLF promoters accept dilution.</t>
  </si>
  <si>
    <t>• Scenario 6 (10/40/50 Mixed): balanced — 1.8% dilution Year 1, Net Debt/EBITDA 0.95x,</t>
  </si>
  <si>
    <t xml:space="preserve">  preserves promoter stake while minimising EPS impact.</t>
  </si>
  <si>
    <t>• Scenario 2 (All-Debt): worst outcome (3.5% dilutive) and highest leverage (1.35x);</t>
  </si>
  <si>
    <t xml:space="preserve">  avoid unless DLF has strategic reason to preserve equity.</t>
  </si>
  <si>
    <t>• All scenarios turn accretive by Year 3 as synergies ramp from 25% → 65% → 100%.</t>
  </si>
  <si>
    <t>• Run-rate synergies of ₹192 Cr/year (10% of Awfis revenue) worth ~₹1,150 Cr in PV terms.</t>
  </si>
  <si>
    <t>• Control premium paid: ₹1,036 Cr; Synergy PV: ~₹1,150 Cr → Net value creation ₹114 Cr before</t>
  </si>
  <si>
    <t xml:space="preserve">  strategic benefits of vertical integration and captive demand monetisation.</t>
  </si>
  <si>
    <t>Key Risks:</t>
  </si>
  <si>
    <t>• Ind AS 116 lease accounting inflates Awfis EBITDA; normalised EV/EBITDA closer to 11x.</t>
  </si>
  <si>
    <t>• Flex workspace sector faces cyclicality risk tied to corporate hiring and IT sector health.</t>
  </si>
  <si>
    <t>• Integration complexity — DLF's promoter-led culture vs Awfis's founder-led operating DNA.</t>
  </si>
  <si>
    <t>• Regulatory: SEBI Takeover Code triggers open offer for 26% at offer price.</t>
  </si>
  <si>
    <t>Next Steps:</t>
  </si>
  <si>
    <t>• Commission fairness opinion from independent valuer (SEBI-registered Cat I Merchant Banker).</t>
  </si>
  <si>
    <t>• Conduct legal &amp; tax DD focusing on lease liabilities, ESOP liabilities, client deposits.</t>
  </si>
  <si>
    <t>• Structure open offer under SEBI SAST Regulations within 4 working days of announcement.</t>
  </si>
  <si>
    <t>• File CCI notification (likely qualifies as a combination under Section 5 thresholds).</t>
  </si>
  <si>
    <t>Assignment</t>
  </si>
  <si>
    <t>DLF × Awfis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</si>
</sst>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\(#,##0.0\);\-"/>
    <numFmt numFmtId="165" formatCode="#,##0;\(#,##0\);\-"/>
    <numFmt numFmtId="166" formatCode="0.0%;\(0.0%\);\-"/>
    <numFmt numFmtId="167" formatCode="0.0\x"/>
    <numFmt numFmtId="168" formatCode="0.00%;[Red]\(0.00%\);\-"/>
    <numFmt numFmtId="169" formatCode="0.0"/>
    <numFmt numFmtId="170" formatCode="0.0000"/>
    <numFmt numFmtId="171" formatCode="0.00\x"/>
  </numFmts>
  <fonts count="21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4"/>
      <color rgb="FFFFFFFF"/>
      <name val="Arial"/>
      <charset val="1"/>
    </font>
    <font>
      <sz val="12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6100"/>
      <name val="Arial"/>
      <charset val="1"/>
    </font>
    <font>
      <i/>
      <sz val="9"/>
      <color rgb="FF595959"/>
      <name val="Arial"/>
      <charset val="1"/>
    </font>
    <font>
      <b/>
      <sz val="16"/>
      <color rgb="FF1F3864"/>
      <name val="Arial"/>
      <charset val="1"/>
    </font>
    <font>
      <i/>
      <sz val="12"/>
      <color rgb="FF595959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  <font>
      <sz val="9"/>
      <name val="Arial"/>
      <charset val="1"/>
    </font>
    <font>
      <i/>
      <sz val="10"/>
      <color rgb="FF808080"/>
      <name val="Arial"/>
      <charset val="1"/>
    </font>
    <font>
      <b/>
      <i/>
      <sz val="9"/>
      <name val="Arial"/>
      <charset val="1"/>
    </font>
    <font>
      <b/>
      <sz val="11"/>
      <color rgb="FF0061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4472C4"/>
        <bgColor rgb="FF2E5597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" fontId="7" fillId="6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0" fillId="5" borderId="0" xfId="0" applyFill="1"/>
    <xf numFmtId="0" fontId="6" fillId="7" borderId="1" xfId="0" applyFont="1" applyFill="1" applyBorder="1" applyAlignment="1">
      <alignment horizontal="left" vertical="center"/>
    </xf>
    <xf numFmtId="165" fontId="6" fillId="7" borderId="1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/>
    <xf numFmtId="166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/>
    </xf>
    <xf numFmtId="167" fontId="7" fillId="0" borderId="1" xfId="0" applyNumberFormat="1" applyFont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9" fontId="7" fillId="0" borderId="1" xfId="0" applyNumberFormat="1" applyFont="1" applyBorder="1" applyAlignment="1">
      <alignment horizontal="right" vertical="center"/>
    </xf>
    <xf numFmtId="170" fontId="8" fillId="0" borderId="1" xfId="0" applyNumberFormat="1" applyFont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left" vertical="center"/>
    </xf>
    <xf numFmtId="165" fontId="6" fillId="8" borderId="1" xfId="0" applyNumberFormat="1" applyFont="1" applyFill="1" applyBorder="1" applyAlignment="1">
      <alignment horizontal="right" vertical="center"/>
    </xf>
    <xf numFmtId="4" fontId="6" fillId="8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167" fontId="6" fillId="7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4" fontId="9" fillId="6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166" fontId="9" fillId="7" borderId="0" xfId="0" applyNumberFormat="1" applyFont="1" applyFill="1" applyAlignment="1">
      <alignment horizontal="right" vertical="center"/>
    </xf>
    <xf numFmtId="4" fontId="9" fillId="7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0" fillId="2" borderId="0" xfId="0" applyFill="1"/>
    <xf numFmtId="0" fontId="5" fillId="6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66" fontId="14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8" fontId="6" fillId="8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71" fontId="6" fillId="7" borderId="1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8" fontId="9" fillId="8" borderId="1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DLF — Monthly Closing Price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Price_Volume_Trends!$F$6</c:f>
              <c:strCache>
                <c:ptCount val="1"/>
                <c:pt idx="0">
                  <c:v>Close (₹)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Price_Volume_Trends!$B$7:$B$27</c:f>
              <c:strCache>
                <c:ptCount val="21"/>
                <c:pt idx="0">
                  <c:v>Apr-2022</c:v>
                </c:pt>
                <c:pt idx="1">
                  <c:v>Jul-2022</c:v>
                </c:pt>
                <c:pt idx="2">
                  <c:v>Oct-2022</c:v>
                </c:pt>
                <c:pt idx="3">
                  <c:v>Jan-2023</c:v>
                </c:pt>
                <c:pt idx="4">
                  <c:v>Apr-2023</c:v>
                </c:pt>
                <c:pt idx="5">
                  <c:v>Jul-2023</c:v>
                </c:pt>
                <c:pt idx="6">
                  <c:v>Oct-2023</c:v>
                </c:pt>
                <c:pt idx="7">
                  <c:v>Jan-2024</c:v>
                </c:pt>
                <c:pt idx="8">
                  <c:v>Apr-2024</c:v>
                </c:pt>
                <c:pt idx="9">
                  <c:v>Jul-2024</c:v>
                </c:pt>
                <c:pt idx="10">
                  <c:v>Oct-2024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Jul-2025</c:v>
                </c:pt>
                <c:pt idx="17">
                  <c:v>Oct-2025</c:v>
                </c:pt>
                <c:pt idx="18">
                  <c:v>Jan-2026</c:v>
                </c:pt>
                <c:pt idx="19">
                  <c:v>Mar-2026</c:v>
                </c:pt>
                <c:pt idx="20">
                  <c:v>Apr-2026</c:v>
                </c:pt>
              </c:strCache>
            </c:strRef>
          </c:cat>
          <c:val>
            <c:numRef>
              <c:f>Price_Volume_Trends!$F$7:$F$27</c:f>
              <c:numCache>
                <c:formatCode>#,##0.00</c:formatCode>
                <c:ptCount val="21"/>
                <c:pt idx="0">
                  <c:v>395</c:v>
                </c:pt>
                <c:pt idx="1">
                  <c:v>365</c:v>
                </c:pt>
                <c:pt idx="2">
                  <c:v>405</c:v>
                </c:pt>
                <c:pt idx="3">
                  <c:v>410</c:v>
                </c:pt>
                <c:pt idx="4">
                  <c:v>465</c:v>
                </c:pt>
                <c:pt idx="5">
                  <c:v>520</c:v>
                </c:pt>
                <c:pt idx="6">
                  <c:v>575</c:v>
                </c:pt>
                <c:pt idx="7">
                  <c:v>690</c:v>
                </c:pt>
                <c:pt idx="8">
                  <c:v>895</c:v>
                </c:pt>
                <c:pt idx="9">
                  <c:v>830</c:v>
                </c:pt>
                <c:pt idx="10">
                  <c:v>865</c:v>
                </c:pt>
                <c:pt idx="11">
                  <c:v>875</c:v>
                </c:pt>
                <c:pt idx="12">
                  <c:v>745</c:v>
                </c:pt>
                <c:pt idx="13">
                  <c:v>715</c:v>
                </c:pt>
                <c:pt idx="14">
                  <c:v>670</c:v>
                </c:pt>
                <c:pt idx="15">
                  <c:v>540</c:v>
                </c:pt>
                <c:pt idx="16">
                  <c:v>640</c:v>
                </c:pt>
                <c:pt idx="17">
                  <c:v>680</c:v>
                </c:pt>
                <c:pt idx="18">
                  <c:v>680</c:v>
                </c:pt>
                <c:pt idx="19">
                  <c:v>555</c:v>
                </c:pt>
                <c:pt idx="20">
                  <c:v>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B8-4A4C-AD1C-4AC95B4E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843363"/>
        <c:axId val="21712070"/>
      </c:lineChart>
      <c:catAx>
        <c:axId val="798433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12070"/>
        <c:crosses val="autoZero"/>
        <c:auto val="1"/>
        <c:lblAlgn val="ctr"/>
        <c:lblOffset val="100"/>
        <c:noMultiLvlLbl val="0"/>
      </c:catAx>
      <c:valAx>
        <c:axId val="217120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8433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DLF — Monthly Volume (Lakh Shares)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Price_Volume_Trends!$G$6</c:f>
              <c:strCache>
                <c:ptCount val="1"/>
                <c:pt idx="0">
                  <c:v>Volume (Lakh)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Price_Volume_Trends!$B$7:$B$27</c:f>
              <c:strCache>
                <c:ptCount val="21"/>
                <c:pt idx="0">
                  <c:v>Apr-2022</c:v>
                </c:pt>
                <c:pt idx="1">
                  <c:v>Jul-2022</c:v>
                </c:pt>
                <c:pt idx="2">
                  <c:v>Oct-2022</c:v>
                </c:pt>
                <c:pt idx="3">
                  <c:v>Jan-2023</c:v>
                </c:pt>
                <c:pt idx="4">
                  <c:v>Apr-2023</c:v>
                </c:pt>
                <c:pt idx="5">
                  <c:v>Jul-2023</c:v>
                </c:pt>
                <c:pt idx="6">
                  <c:v>Oct-2023</c:v>
                </c:pt>
                <c:pt idx="7">
                  <c:v>Jan-2024</c:v>
                </c:pt>
                <c:pt idx="8">
                  <c:v>Apr-2024</c:v>
                </c:pt>
                <c:pt idx="9">
                  <c:v>Jul-2024</c:v>
                </c:pt>
                <c:pt idx="10">
                  <c:v>Oct-2024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Jul-2025</c:v>
                </c:pt>
                <c:pt idx="17">
                  <c:v>Oct-2025</c:v>
                </c:pt>
                <c:pt idx="18">
                  <c:v>Jan-2026</c:v>
                </c:pt>
                <c:pt idx="19">
                  <c:v>Mar-2026</c:v>
                </c:pt>
                <c:pt idx="20">
                  <c:v>Apr-2026</c:v>
                </c:pt>
              </c:strCache>
            </c:strRef>
          </c:cat>
          <c:val>
            <c:numRef>
              <c:f>Price_Volume_Trends!$G$7:$G$27</c:f>
              <c:numCache>
                <c:formatCode>#,##0</c:formatCode>
                <c:ptCount val="21"/>
                <c:pt idx="0">
                  <c:v>450</c:v>
                </c:pt>
                <c:pt idx="1">
                  <c:v>520</c:v>
                </c:pt>
                <c:pt idx="2">
                  <c:v>480</c:v>
                </c:pt>
                <c:pt idx="3">
                  <c:v>550</c:v>
                </c:pt>
                <c:pt idx="4">
                  <c:v>620</c:v>
                </c:pt>
                <c:pt idx="5">
                  <c:v>580</c:v>
                </c:pt>
                <c:pt idx="6">
                  <c:v>640</c:v>
                </c:pt>
                <c:pt idx="7">
                  <c:v>720</c:v>
                </c:pt>
                <c:pt idx="8">
                  <c:v>850</c:v>
                </c:pt>
                <c:pt idx="9">
                  <c:v>780</c:v>
                </c:pt>
                <c:pt idx="10">
                  <c:v>920</c:v>
                </c:pt>
                <c:pt idx="11">
                  <c:v>680</c:v>
                </c:pt>
                <c:pt idx="12">
                  <c:v>730</c:v>
                </c:pt>
                <c:pt idx="13">
                  <c:v>690</c:v>
                </c:pt>
                <c:pt idx="14">
                  <c:v>640</c:v>
                </c:pt>
                <c:pt idx="15">
                  <c:v>890</c:v>
                </c:pt>
                <c:pt idx="16">
                  <c:v>550</c:v>
                </c:pt>
                <c:pt idx="17">
                  <c:v>620</c:v>
                </c:pt>
                <c:pt idx="18">
                  <c:v>710</c:v>
                </c:pt>
                <c:pt idx="19">
                  <c:v>580</c:v>
                </c:pt>
                <c:pt idx="20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3-44E4-AE86-6E8E4AE1C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483953"/>
        <c:axId val="49429665"/>
      </c:barChart>
      <c:catAx>
        <c:axId val="30483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29665"/>
        <c:crosses val="autoZero"/>
        <c:auto val="1"/>
        <c:lblAlgn val="ctr"/>
        <c:lblOffset val="100"/>
        <c:noMultiLvlLbl val="0"/>
      </c:catAx>
      <c:valAx>
        <c:axId val="494296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 (Lakh)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483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Awfis — Monthly Closing Price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Price_Volume_Trends!$F$91</c:f>
              <c:strCache>
                <c:ptCount val="1"/>
                <c:pt idx="0">
                  <c:v>Close (₹)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Price_Volume_Trends!$B$92:$B$104</c:f>
              <c:strCache>
                <c:ptCount val="13"/>
                <c:pt idx="0">
                  <c:v>May-2024</c:v>
                </c:pt>
                <c:pt idx="1">
                  <c:v>Jul-2024</c:v>
                </c:pt>
                <c:pt idx="2">
                  <c:v>Oct-2024</c:v>
                </c:pt>
                <c:pt idx="3">
                  <c:v>Dec-2024</c:v>
                </c:pt>
                <c:pt idx="4">
                  <c:v>Jan-2025</c:v>
                </c:pt>
                <c:pt idx="5">
                  <c:v>Mar-2025</c:v>
                </c:pt>
                <c:pt idx="6">
                  <c:v>May-2025</c:v>
                </c:pt>
                <c:pt idx="7">
                  <c:v>Jul-2025</c:v>
                </c:pt>
                <c:pt idx="8">
                  <c:v>Sep-2025</c:v>
                </c:pt>
                <c:pt idx="9">
                  <c:v>Nov-2025</c:v>
                </c:pt>
                <c:pt idx="10">
                  <c:v>Jan-2026</c:v>
                </c:pt>
                <c:pt idx="11">
                  <c:v>Feb-2026</c:v>
                </c:pt>
                <c:pt idx="12">
                  <c:v>Apr-2026</c:v>
                </c:pt>
              </c:strCache>
            </c:strRef>
          </c:cat>
          <c:val>
            <c:numRef>
              <c:f>Price_Volume_Trends!$F$92:$F$104</c:f>
              <c:numCache>
                <c:formatCode>#,##0.00</c:formatCode>
                <c:ptCount val="13"/>
                <c:pt idx="0">
                  <c:v>450</c:v>
                </c:pt>
                <c:pt idx="1">
                  <c:v>510</c:v>
                </c:pt>
                <c:pt idx="2">
                  <c:v>605</c:v>
                </c:pt>
                <c:pt idx="3">
                  <c:v>695</c:v>
                </c:pt>
                <c:pt idx="4">
                  <c:v>615</c:v>
                </c:pt>
                <c:pt idx="5">
                  <c:v>555</c:v>
                </c:pt>
                <c:pt idx="6">
                  <c:v>485</c:v>
                </c:pt>
                <c:pt idx="7">
                  <c:v>455</c:v>
                </c:pt>
                <c:pt idx="8">
                  <c:v>410</c:v>
                </c:pt>
                <c:pt idx="9">
                  <c:v>355</c:v>
                </c:pt>
                <c:pt idx="10">
                  <c:v>335</c:v>
                </c:pt>
                <c:pt idx="11">
                  <c:v>331</c:v>
                </c:pt>
                <c:pt idx="12">
                  <c:v>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71-4A36-A831-9FC452E3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660500"/>
        <c:axId val="76142800"/>
      </c:lineChart>
      <c:catAx>
        <c:axId val="65660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42800"/>
        <c:crosses val="autoZero"/>
        <c:auto val="1"/>
        <c:lblAlgn val="ctr"/>
        <c:lblOffset val="100"/>
        <c:noMultiLvlLbl val="0"/>
      </c:catAx>
      <c:valAx>
        <c:axId val="761428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60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Awfis — Monthly Volume (Lakh Shares)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Price_Volume_Trends!$G$91</c:f>
              <c:strCache>
                <c:ptCount val="1"/>
                <c:pt idx="0">
                  <c:v>Volume (Lakh)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Price_Volume_Trends!$B$92:$B$104</c:f>
              <c:strCache>
                <c:ptCount val="13"/>
                <c:pt idx="0">
                  <c:v>May-2024</c:v>
                </c:pt>
                <c:pt idx="1">
                  <c:v>Jul-2024</c:v>
                </c:pt>
                <c:pt idx="2">
                  <c:v>Oct-2024</c:v>
                </c:pt>
                <c:pt idx="3">
                  <c:v>Dec-2024</c:v>
                </c:pt>
                <c:pt idx="4">
                  <c:v>Jan-2025</c:v>
                </c:pt>
                <c:pt idx="5">
                  <c:v>Mar-2025</c:v>
                </c:pt>
                <c:pt idx="6">
                  <c:v>May-2025</c:v>
                </c:pt>
                <c:pt idx="7">
                  <c:v>Jul-2025</c:v>
                </c:pt>
                <c:pt idx="8">
                  <c:v>Sep-2025</c:v>
                </c:pt>
                <c:pt idx="9">
                  <c:v>Nov-2025</c:v>
                </c:pt>
                <c:pt idx="10">
                  <c:v>Jan-2026</c:v>
                </c:pt>
                <c:pt idx="11">
                  <c:v>Feb-2026</c:v>
                </c:pt>
                <c:pt idx="12">
                  <c:v>Apr-2026</c:v>
                </c:pt>
              </c:strCache>
            </c:strRef>
          </c:cat>
          <c:val>
            <c:numRef>
              <c:f>Price_Volume_Trends!$G$92:$G$104</c:f>
              <c:numCache>
                <c:formatCode>#,##0</c:formatCode>
                <c:ptCount val="13"/>
                <c:pt idx="0">
                  <c:v>180</c:v>
                </c:pt>
                <c:pt idx="1">
                  <c:v>220</c:v>
                </c:pt>
                <c:pt idx="2">
                  <c:v>260</c:v>
                </c:pt>
                <c:pt idx="3">
                  <c:v>310</c:v>
                </c:pt>
                <c:pt idx="4">
                  <c:v>280</c:v>
                </c:pt>
                <c:pt idx="5">
                  <c:v>240</c:v>
                </c:pt>
                <c:pt idx="6">
                  <c:v>220</c:v>
                </c:pt>
                <c:pt idx="7">
                  <c:v>190</c:v>
                </c:pt>
                <c:pt idx="8">
                  <c:v>175</c:v>
                </c:pt>
                <c:pt idx="9">
                  <c:v>210</c:v>
                </c:pt>
                <c:pt idx="10">
                  <c:v>165</c:v>
                </c:pt>
                <c:pt idx="11">
                  <c:v>145</c:v>
                </c:pt>
                <c:pt idx="1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4-4574-BBCB-604FE3132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12818"/>
        <c:axId val="53848388"/>
      </c:barChart>
      <c:catAx>
        <c:axId val="12512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848388"/>
        <c:crosses val="autoZero"/>
        <c:auto val="1"/>
        <c:lblAlgn val="ctr"/>
        <c:lblOffset val="100"/>
        <c:noMultiLvlLbl val="0"/>
      </c:catAx>
      <c:valAx>
        <c:axId val="538483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Volume (Lakh)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12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Football Field — Awfis Valuation Range (₹ per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Football_Field!$C$5</c:f>
              <c:strCache>
                <c:ptCount val="1"/>
                <c:pt idx="0">
                  <c:v>Low (₹)</c:v>
                </c:pt>
              </c:strCache>
            </c:strRef>
          </c:tx>
          <c:spPr>
            <a:solidFill>
              <a:srgbClr val="FFFFFF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Football_Field!$B$6:$B$10</c:f>
              <c:strCache>
                <c:ptCount val="5"/>
                <c:pt idx="0">
                  <c:v>52-Week Trading Range</c:v>
                </c:pt>
                <c:pt idx="1">
                  <c:v>DCF (Sensitized)</c:v>
                </c:pt>
                <c:pt idx="2">
                  <c:v>Trading Comparables</c:v>
                </c:pt>
                <c:pt idx="3">
                  <c:v>Precedent Transactions</c:v>
                </c:pt>
                <c:pt idx="4">
                  <c:v>Current Market Price (CMP)</c:v>
                </c:pt>
              </c:strCache>
            </c:strRef>
          </c:cat>
          <c:val>
            <c:numRef>
              <c:f>Football_Field!$C$6:$C$10</c:f>
              <c:numCache>
                <c:formatCode>#,##0.00</c:formatCode>
                <c:ptCount val="5"/>
                <c:pt idx="0">
                  <c:v>320.7</c:v>
                </c:pt>
                <c:pt idx="1">
                  <c:v>384.39324690838879</c:v>
                </c:pt>
                <c:pt idx="2">
                  <c:v>938.97341437356681</c:v>
                </c:pt>
                <c:pt idx="3">
                  <c:v>783.66871843434342</c:v>
                </c:pt>
                <c:pt idx="4">
                  <c:v>331.05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49A5-BF2E-D24E2BBDB443}"/>
            </c:ext>
          </c:extLst>
        </c:ser>
        <c:ser>
          <c:idx val="1"/>
          <c:order val="1"/>
          <c:tx>
            <c:strRef>
              <c:f>Football_Field!$E$5</c:f>
              <c:strCache>
                <c:ptCount val="1"/>
                <c:pt idx="0">
                  <c:v>Width (for chart)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Football_Field!$B$6:$B$10</c:f>
              <c:strCache>
                <c:ptCount val="5"/>
                <c:pt idx="0">
                  <c:v>52-Week Trading Range</c:v>
                </c:pt>
                <c:pt idx="1">
                  <c:v>DCF (Sensitized)</c:v>
                </c:pt>
                <c:pt idx="2">
                  <c:v>Trading Comparables</c:v>
                </c:pt>
                <c:pt idx="3">
                  <c:v>Precedent Transactions</c:v>
                </c:pt>
                <c:pt idx="4">
                  <c:v>Current Market Price (CMP)</c:v>
                </c:pt>
              </c:strCache>
            </c:strRef>
          </c:cat>
          <c:val>
            <c:numRef>
              <c:f>Football_Field!$E$6:$E$10</c:f>
              <c:numCache>
                <c:formatCode>#,##0.00</c:formatCode>
                <c:ptCount val="5"/>
                <c:pt idx="0">
                  <c:v>398.25000000000006</c:v>
                </c:pt>
                <c:pt idx="1">
                  <c:v>836.20385908771004</c:v>
                </c:pt>
                <c:pt idx="2">
                  <c:v>295.69814928735855</c:v>
                </c:pt>
                <c:pt idx="3">
                  <c:v>48.372851107226097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D-49A5-BF2E-D24E2BBDB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855553"/>
        <c:axId val="20526284"/>
      </c:barChart>
      <c:catAx>
        <c:axId val="818555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Implied Share Price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26284"/>
        <c:crosses val="autoZero"/>
        <c:auto val="1"/>
        <c:lblAlgn val="ctr"/>
        <c:lblOffset val="100"/>
        <c:noMultiLvlLbl val="0"/>
      </c:catAx>
      <c:valAx>
        <c:axId val="2052628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8555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41</xdr:row>
      <xdr:rowOff>130680</xdr:rowOff>
    </xdr:from>
    <xdr:to>
      <xdr:col>11</xdr:col>
      <xdr:colOff>714960</xdr:colOff>
      <xdr:row>56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59</xdr:row>
      <xdr:rowOff>130680</xdr:rowOff>
    </xdr:from>
    <xdr:to>
      <xdr:col>11</xdr:col>
      <xdr:colOff>714960</xdr:colOff>
      <xdr:row>74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118</xdr:row>
      <xdr:rowOff>37440</xdr:rowOff>
    </xdr:from>
    <xdr:to>
      <xdr:col>11</xdr:col>
      <xdr:colOff>714960</xdr:colOff>
      <xdr:row>133</xdr:row>
      <xdr:rowOff>59760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136</xdr:row>
      <xdr:rowOff>37440</xdr:rowOff>
    </xdr:from>
    <xdr:to>
      <xdr:col>11</xdr:col>
      <xdr:colOff>714960</xdr:colOff>
      <xdr:row>151</xdr:row>
      <xdr:rowOff>59760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131040</xdr:rowOff>
    </xdr:from>
    <xdr:to>
      <xdr:col>7</xdr:col>
      <xdr:colOff>375840</xdr:colOff>
      <xdr:row>34</xdr:row>
      <xdr:rowOff>109080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6"/>
  <sheetViews>
    <sheetView zoomScaleNormal="100" workbookViewId="0">
      <selection activeCell="J4" sqref="J4"/>
    </sheetView>
  </sheetViews>
  <sheetFormatPr defaultColWidth="8.6640625" defaultRowHeight="14.4" x14ac:dyDescent="0.3"/>
  <cols>
    <col min="1" max="1" width="2" customWidth="1"/>
    <col min="2" max="2" width="18" customWidth="1"/>
    <col min="3" max="6" width="22" customWidth="1"/>
    <col min="7" max="7" width="2" customWidth="1"/>
  </cols>
  <sheetData>
    <row r="3" spans="2:6" ht="39.75" customHeight="1" x14ac:dyDescent="0.3">
      <c r="B3" s="94" t="s">
        <v>686</v>
      </c>
      <c r="C3" s="94"/>
      <c r="D3" s="94"/>
      <c r="E3" s="94"/>
      <c r="F3" s="94"/>
    </row>
    <row r="4" spans="2:6" ht="27.75" customHeight="1" x14ac:dyDescent="0.3">
      <c r="B4" s="95" t="s">
        <v>0</v>
      </c>
      <c r="C4" s="95"/>
      <c r="D4" s="95"/>
      <c r="E4" s="95"/>
      <c r="F4" s="95"/>
    </row>
    <row r="5" spans="2:6" ht="21.75" customHeight="1" x14ac:dyDescent="0.3">
      <c r="B5" s="96" t="s">
        <v>1</v>
      </c>
      <c r="C5" s="96"/>
      <c r="D5" s="96"/>
      <c r="E5" s="96"/>
      <c r="F5" s="96"/>
    </row>
    <row r="7" spans="2:6" ht="15" customHeight="1" x14ac:dyDescent="0.3">
      <c r="B7" s="89" t="s">
        <v>2</v>
      </c>
      <c r="C7" s="89"/>
      <c r="D7" s="89"/>
      <c r="E7" s="89"/>
      <c r="F7" s="89"/>
    </row>
    <row r="8" spans="2:6" ht="15" customHeight="1" x14ac:dyDescent="0.3">
      <c r="B8" s="86" t="s">
        <v>3</v>
      </c>
      <c r="C8" s="86"/>
      <c r="D8" s="86"/>
      <c r="E8" s="86"/>
      <c r="F8" s="86"/>
    </row>
    <row r="9" spans="2:6" ht="15" customHeight="1" x14ac:dyDescent="0.3">
      <c r="B9" s="86" t="s">
        <v>4</v>
      </c>
      <c r="C9" s="86"/>
      <c r="D9" s="86"/>
      <c r="E9" s="86"/>
      <c r="F9" s="86"/>
    </row>
    <row r="10" spans="2:6" ht="15" customHeight="1" x14ac:dyDescent="0.3">
      <c r="B10" s="86" t="s">
        <v>5</v>
      </c>
      <c r="C10" s="86"/>
      <c r="D10" s="86"/>
      <c r="E10" s="86"/>
      <c r="F10" s="86"/>
    </row>
    <row r="11" spans="2:6" ht="15" customHeight="1" x14ac:dyDescent="0.3">
      <c r="B11" s="86" t="s">
        <v>6</v>
      </c>
      <c r="C11" s="86"/>
      <c r="D11" s="86"/>
      <c r="E11" s="86"/>
      <c r="F11" s="86"/>
    </row>
    <row r="12" spans="2:6" ht="15" customHeight="1" x14ac:dyDescent="0.3">
      <c r="B12" s="86" t="s">
        <v>7</v>
      </c>
      <c r="C12" s="86"/>
      <c r="D12" s="86"/>
      <c r="E12" s="86"/>
      <c r="F12" s="86"/>
    </row>
    <row r="13" spans="2:6" ht="15" customHeight="1" x14ac:dyDescent="0.3">
      <c r="B13" s="86" t="s">
        <v>8</v>
      </c>
      <c r="C13" s="86"/>
      <c r="D13" s="86"/>
      <c r="E13" s="86"/>
      <c r="F13" s="86"/>
    </row>
    <row r="15" spans="2:6" ht="15" customHeight="1" x14ac:dyDescent="0.3">
      <c r="B15" s="89" t="s">
        <v>9</v>
      </c>
      <c r="C15" s="89"/>
      <c r="D15" s="89"/>
      <c r="E15" s="89"/>
      <c r="F15" s="89"/>
    </row>
    <row r="16" spans="2:6" ht="15" customHeight="1" x14ac:dyDescent="0.3">
      <c r="B16" s="2" t="s">
        <v>10</v>
      </c>
      <c r="C16" s="86" t="s">
        <v>11</v>
      </c>
      <c r="D16" s="86"/>
      <c r="E16" s="86"/>
      <c r="F16" s="86"/>
    </row>
    <row r="17" spans="2:6" ht="15" customHeight="1" x14ac:dyDescent="0.3">
      <c r="B17" s="2" t="s">
        <v>12</v>
      </c>
      <c r="C17" s="86" t="s">
        <v>13</v>
      </c>
      <c r="D17" s="86"/>
      <c r="E17" s="86"/>
      <c r="F17" s="86"/>
    </row>
    <row r="18" spans="2:6" ht="15" customHeight="1" x14ac:dyDescent="0.3">
      <c r="B18" s="2" t="s">
        <v>14</v>
      </c>
      <c r="C18" s="86" t="s">
        <v>15</v>
      </c>
      <c r="D18" s="86"/>
      <c r="E18" s="86"/>
      <c r="F18" s="86"/>
    </row>
    <row r="19" spans="2:6" ht="15" customHeight="1" x14ac:dyDescent="0.3">
      <c r="B19" s="2" t="s">
        <v>16</v>
      </c>
      <c r="C19" s="86" t="s">
        <v>17</v>
      </c>
      <c r="D19" s="86"/>
      <c r="E19" s="86"/>
      <c r="F19" s="86"/>
    </row>
    <row r="20" spans="2:6" ht="15" customHeight="1" x14ac:dyDescent="0.3">
      <c r="B20" s="2" t="s">
        <v>18</v>
      </c>
      <c r="C20" s="86" t="s">
        <v>19</v>
      </c>
      <c r="D20" s="86"/>
      <c r="E20" s="86"/>
      <c r="F20" s="86"/>
    </row>
    <row r="21" spans="2:6" ht="15" customHeight="1" x14ac:dyDescent="0.3">
      <c r="B21" s="2" t="s">
        <v>20</v>
      </c>
      <c r="C21" s="86" t="s">
        <v>21</v>
      </c>
      <c r="D21" s="86"/>
      <c r="E21" s="86"/>
      <c r="F21" s="86"/>
    </row>
    <row r="22" spans="2:6" ht="15" customHeight="1" x14ac:dyDescent="0.3">
      <c r="B22" s="2" t="s">
        <v>22</v>
      </c>
      <c r="C22" s="86" t="s">
        <v>23</v>
      </c>
      <c r="D22" s="86"/>
      <c r="E22" s="86"/>
      <c r="F22" s="86"/>
    </row>
    <row r="23" spans="2:6" ht="15" customHeight="1" x14ac:dyDescent="0.3">
      <c r="B23" s="2" t="s">
        <v>24</v>
      </c>
      <c r="C23" s="86" t="s">
        <v>25</v>
      </c>
      <c r="D23" s="86"/>
      <c r="E23" s="86"/>
      <c r="F23" s="86"/>
    </row>
    <row r="25" spans="2:6" ht="15" customHeight="1" x14ac:dyDescent="0.3">
      <c r="B25" s="89" t="s">
        <v>26</v>
      </c>
      <c r="C25" s="89"/>
      <c r="D25" s="89"/>
      <c r="E25" s="89"/>
      <c r="F25" s="89"/>
    </row>
    <row r="26" spans="2:6" ht="15" customHeight="1" x14ac:dyDescent="0.3">
      <c r="B26" s="2" t="s">
        <v>27</v>
      </c>
      <c r="C26" s="86" t="s">
        <v>28</v>
      </c>
      <c r="D26" s="86"/>
      <c r="E26" s="86"/>
      <c r="F26" s="86"/>
    </row>
    <row r="27" spans="2:6" ht="15" customHeight="1" x14ac:dyDescent="0.3">
      <c r="B27" s="2" t="s">
        <v>29</v>
      </c>
      <c r="C27" s="86" t="s">
        <v>30</v>
      </c>
      <c r="D27" s="86"/>
      <c r="E27" s="86"/>
      <c r="F27" s="86"/>
    </row>
    <row r="28" spans="2:6" ht="15" customHeight="1" x14ac:dyDescent="0.3">
      <c r="B28" s="2" t="s">
        <v>31</v>
      </c>
      <c r="C28" s="86" t="s">
        <v>32</v>
      </c>
      <c r="D28" s="86"/>
      <c r="E28" s="86"/>
      <c r="F28" s="86"/>
    </row>
    <row r="29" spans="2:6" ht="15" customHeight="1" x14ac:dyDescent="0.3">
      <c r="B29" s="2" t="s">
        <v>33</v>
      </c>
      <c r="C29" s="86" t="s">
        <v>34</v>
      </c>
      <c r="D29" s="86"/>
      <c r="E29" s="86"/>
      <c r="F29" s="86"/>
    </row>
    <row r="30" spans="2:6" ht="15" customHeight="1" x14ac:dyDescent="0.3">
      <c r="B30" s="2" t="s">
        <v>35</v>
      </c>
      <c r="C30" s="86" t="s">
        <v>36</v>
      </c>
      <c r="D30" s="86"/>
      <c r="E30" s="86"/>
      <c r="F30" s="86"/>
    </row>
    <row r="31" spans="2:6" ht="15" customHeight="1" x14ac:dyDescent="0.3">
      <c r="B31" s="2" t="s">
        <v>37</v>
      </c>
      <c r="C31" s="86" t="s">
        <v>38</v>
      </c>
      <c r="D31" s="86"/>
      <c r="E31" s="86"/>
      <c r="F31" s="86"/>
    </row>
    <row r="32" spans="2:6" ht="15" customHeight="1" x14ac:dyDescent="0.3">
      <c r="B32" s="2" t="s">
        <v>39</v>
      </c>
      <c r="C32" s="86" t="s">
        <v>40</v>
      </c>
      <c r="D32" s="86"/>
      <c r="E32" s="86"/>
      <c r="F32" s="86"/>
    </row>
    <row r="33" spans="2:6" ht="15" customHeight="1" x14ac:dyDescent="0.3">
      <c r="B33" s="2" t="s">
        <v>41</v>
      </c>
      <c r="C33" s="86" t="s">
        <v>42</v>
      </c>
      <c r="D33" s="86"/>
      <c r="E33" s="86"/>
      <c r="F33" s="86"/>
    </row>
    <row r="34" spans="2:6" ht="15" customHeight="1" x14ac:dyDescent="0.3">
      <c r="B34" s="2" t="s">
        <v>43</v>
      </c>
      <c r="C34" s="86" t="s">
        <v>44</v>
      </c>
      <c r="D34" s="86"/>
      <c r="E34" s="86"/>
      <c r="F34" s="86"/>
    </row>
    <row r="35" spans="2:6" ht="15" customHeight="1" x14ac:dyDescent="0.3">
      <c r="B35" s="2" t="s">
        <v>45</v>
      </c>
      <c r="C35" s="86" t="s">
        <v>46</v>
      </c>
      <c r="D35" s="86"/>
      <c r="E35" s="86"/>
      <c r="F35" s="86"/>
    </row>
    <row r="36" spans="2:6" ht="15" customHeight="1" x14ac:dyDescent="0.3">
      <c r="B36" s="2" t="s">
        <v>47</v>
      </c>
      <c r="C36" s="86" t="s">
        <v>48</v>
      </c>
      <c r="D36" s="86"/>
      <c r="E36" s="86"/>
      <c r="F36" s="86"/>
    </row>
    <row r="39" spans="2:6" ht="15" customHeight="1" x14ac:dyDescent="0.3">
      <c r="B39" s="89" t="s">
        <v>49</v>
      </c>
      <c r="C39" s="89"/>
      <c r="D39" s="89"/>
      <c r="E39" s="89"/>
      <c r="F39" s="89"/>
    </row>
    <row r="40" spans="2:6" ht="15" customHeight="1" x14ac:dyDescent="0.3">
      <c r="B40" s="5" t="s">
        <v>50</v>
      </c>
      <c r="C40" s="86" t="s">
        <v>51</v>
      </c>
      <c r="D40" s="86"/>
      <c r="E40" s="86"/>
      <c r="F40" s="86"/>
    </row>
    <row r="41" spans="2:6" ht="15" customHeight="1" x14ac:dyDescent="0.3">
      <c r="B41" s="6" t="s">
        <v>52</v>
      </c>
      <c r="C41" s="86" t="s">
        <v>53</v>
      </c>
      <c r="D41" s="86"/>
      <c r="E41" s="86"/>
      <c r="F41" s="86"/>
    </row>
    <row r="42" spans="2:6" ht="15" customHeight="1" x14ac:dyDescent="0.3">
      <c r="B42" s="7" t="s">
        <v>54</v>
      </c>
      <c r="C42" s="86" t="s">
        <v>55</v>
      </c>
      <c r="D42" s="86"/>
      <c r="E42" s="86"/>
      <c r="F42" s="86"/>
    </row>
    <row r="43" spans="2:6" ht="15" customHeight="1" x14ac:dyDescent="0.3">
      <c r="B43" s="8" t="s">
        <v>56</v>
      </c>
      <c r="C43" s="86" t="s">
        <v>57</v>
      </c>
      <c r="D43" s="86"/>
      <c r="E43" s="86"/>
      <c r="F43" s="86"/>
    </row>
    <row r="46" spans="2:6" ht="15" customHeight="1" x14ac:dyDescent="0.3">
      <c r="B46" s="93"/>
      <c r="C46" s="93"/>
      <c r="D46" s="93"/>
      <c r="E46" s="93"/>
      <c r="F46" s="93"/>
    </row>
  </sheetData>
  <mergeCells count="37">
    <mergeCell ref="B3:F3"/>
    <mergeCell ref="B4:F4"/>
    <mergeCell ref="B5:F5"/>
    <mergeCell ref="B7:F7"/>
    <mergeCell ref="B8:F8"/>
    <mergeCell ref="B9:F9"/>
    <mergeCell ref="B10:F10"/>
    <mergeCell ref="B11:F11"/>
    <mergeCell ref="B12:F12"/>
    <mergeCell ref="B13:F13"/>
    <mergeCell ref="B15:F15"/>
    <mergeCell ref="C16:F16"/>
    <mergeCell ref="C17:F17"/>
    <mergeCell ref="C18:F18"/>
    <mergeCell ref="C19:F19"/>
    <mergeCell ref="C20:F20"/>
    <mergeCell ref="C21:F21"/>
    <mergeCell ref="C22:F22"/>
    <mergeCell ref="C23:F23"/>
    <mergeCell ref="B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43:F43"/>
    <mergeCell ref="B46:F46"/>
    <mergeCell ref="C36:F36"/>
    <mergeCell ref="B39:F39"/>
    <mergeCell ref="C40:F40"/>
    <mergeCell ref="C41:F41"/>
    <mergeCell ref="C42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8"/>
  <sheetViews>
    <sheetView topLeftCell="A4" zoomScaleNormal="100" workbookViewId="0">
      <selection activeCell="D17" sqref="D17"/>
    </sheetView>
  </sheetViews>
  <sheetFormatPr defaultColWidth="8.6640625" defaultRowHeight="14.4" x14ac:dyDescent="0.3"/>
  <cols>
    <col min="1" max="1" width="2" customWidth="1"/>
    <col min="2" max="2" width="38" customWidth="1"/>
    <col min="3" max="3" width="18" customWidth="1"/>
    <col min="4" max="4" width="14" customWidth="1"/>
    <col min="5" max="5" width="50" customWidth="1"/>
    <col min="6" max="6" width="2" customWidth="1"/>
  </cols>
  <sheetData>
    <row r="2" spans="2:5" ht="19.5" customHeight="1" x14ac:dyDescent="0.3">
      <c r="B2" s="9" t="s">
        <v>58</v>
      </c>
    </row>
    <row r="3" spans="2:5" ht="15" customHeight="1" x14ac:dyDescent="0.3">
      <c r="B3" s="10" t="s">
        <v>59</v>
      </c>
    </row>
    <row r="5" spans="2:5" ht="15" customHeight="1" x14ac:dyDescent="0.3">
      <c r="B5" s="11" t="s">
        <v>60</v>
      </c>
      <c r="C5" s="11" t="s">
        <v>61</v>
      </c>
      <c r="D5" s="11" t="s">
        <v>62</v>
      </c>
      <c r="E5" s="11" t="s">
        <v>63</v>
      </c>
    </row>
    <row r="6" spans="2:5" ht="15" customHeight="1" x14ac:dyDescent="0.3">
      <c r="B6" s="89" t="s">
        <v>64</v>
      </c>
      <c r="C6" s="89"/>
      <c r="D6" s="89"/>
      <c r="E6" s="89"/>
    </row>
    <row r="7" spans="2:5" ht="15" customHeight="1" x14ac:dyDescent="0.3">
      <c r="B7" s="12" t="s">
        <v>65</v>
      </c>
      <c r="C7" s="13">
        <v>568.25</v>
      </c>
      <c r="D7" s="14" t="s">
        <v>66</v>
      </c>
      <c r="E7" s="15" t="s">
        <v>67</v>
      </c>
    </row>
    <row r="8" spans="2:5" ht="15" customHeight="1" x14ac:dyDescent="0.3">
      <c r="B8" s="16" t="s">
        <v>68</v>
      </c>
      <c r="C8" s="17">
        <v>247.5</v>
      </c>
      <c r="D8" s="14" t="s">
        <v>69</v>
      </c>
      <c r="E8" s="15" t="s">
        <v>70</v>
      </c>
    </row>
    <row r="9" spans="2:5" ht="15" customHeight="1" x14ac:dyDescent="0.3">
      <c r="B9" s="16" t="s">
        <v>71</v>
      </c>
      <c r="C9" s="18">
        <f>C7*C8</f>
        <v>140641.875</v>
      </c>
      <c r="D9" s="14" t="s">
        <v>72</v>
      </c>
      <c r="E9" s="15" t="s">
        <v>73</v>
      </c>
    </row>
    <row r="10" spans="2:5" ht="15" customHeight="1" x14ac:dyDescent="0.3">
      <c r="B10" s="16" t="s">
        <v>74</v>
      </c>
      <c r="C10" s="19">
        <v>3500</v>
      </c>
      <c r="D10" s="14" t="s">
        <v>72</v>
      </c>
      <c r="E10" s="15" t="s">
        <v>75</v>
      </c>
    </row>
    <row r="11" spans="2:5" ht="15" customHeight="1" x14ac:dyDescent="0.3">
      <c r="B11" s="16" t="s">
        <v>76</v>
      </c>
      <c r="C11" s="18">
        <f>C9+C10</f>
        <v>144141.875</v>
      </c>
      <c r="D11" s="14" t="s">
        <v>72</v>
      </c>
      <c r="E11" s="15" t="s">
        <v>77</v>
      </c>
    </row>
    <row r="12" spans="2:5" ht="15" customHeight="1" x14ac:dyDescent="0.3">
      <c r="B12" s="16" t="s">
        <v>78</v>
      </c>
      <c r="C12" s="20">
        <v>886.8</v>
      </c>
      <c r="D12" s="14" t="s">
        <v>66</v>
      </c>
      <c r="E12" s="15" t="s">
        <v>79</v>
      </c>
    </row>
    <row r="13" spans="2:5" ht="15" customHeight="1" x14ac:dyDescent="0.3">
      <c r="B13" s="16" t="s">
        <v>80</v>
      </c>
      <c r="C13" s="20">
        <v>489.4</v>
      </c>
      <c r="D13" s="14" t="s">
        <v>66</v>
      </c>
      <c r="E13" s="15" t="s">
        <v>81</v>
      </c>
    </row>
    <row r="14" spans="2:5" ht="15" customHeight="1" x14ac:dyDescent="0.3">
      <c r="B14" s="16" t="s">
        <v>82</v>
      </c>
      <c r="C14" s="17">
        <v>0.95</v>
      </c>
      <c r="D14" s="14" t="s">
        <v>83</v>
      </c>
      <c r="E14" s="15" t="s">
        <v>84</v>
      </c>
    </row>
    <row r="15" spans="2:5" ht="15" customHeight="1" x14ac:dyDescent="0.3">
      <c r="B15" s="12" t="s">
        <v>85</v>
      </c>
      <c r="C15" s="21" t="s">
        <v>86</v>
      </c>
      <c r="D15" s="14" t="s">
        <v>87</v>
      </c>
      <c r="E15" s="15" t="s">
        <v>88</v>
      </c>
    </row>
    <row r="17" spans="2:5" ht="15" customHeight="1" x14ac:dyDescent="0.3">
      <c r="B17" s="12" t="s">
        <v>89</v>
      </c>
      <c r="C17" s="13">
        <v>331.05</v>
      </c>
      <c r="D17" s="14" t="s">
        <v>66</v>
      </c>
      <c r="E17" s="15" t="s">
        <v>90</v>
      </c>
    </row>
    <row r="18" spans="2:5" ht="15" customHeight="1" x14ac:dyDescent="0.3">
      <c r="B18" s="16" t="s">
        <v>91</v>
      </c>
      <c r="C18" s="17">
        <v>7.2</v>
      </c>
      <c r="D18" s="14" t="s">
        <v>69</v>
      </c>
      <c r="E18" s="15" t="s">
        <v>92</v>
      </c>
    </row>
    <row r="19" spans="2:5" ht="15" customHeight="1" x14ac:dyDescent="0.3">
      <c r="B19" s="16" t="s">
        <v>93</v>
      </c>
      <c r="C19" s="18">
        <f>C17*C18</f>
        <v>2383.56</v>
      </c>
      <c r="D19" s="14" t="s">
        <v>72</v>
      </c>
      <c r="E19" s="15" t="s">
        <v>73</v>
      </c>
    </row>
    <row r="20" spans="2:5" ht="15" customHeight="1" x14ac:dyDescent="0.3">
      <c r="B20" s="16" t="s">
        <v>94</v>
      </c>
      <c r="C20" s="19">
        <v>1160</v>
      </c>
      <c r="D20" s="14" t="s">
        <v>72</v>
      </c>
      <c r="E20" s="15" t="s">
        <v>95</v>
      </c>
    </row>
    <row r="21" spans="2:5" ht="15" customHeight="1" x14ac:dyDescent="0.3">
      <c r="B21" s="16" t="s">
        <v>96</v>
      </c>
      <c r="C21" s="18">
        <f>C19+C20</f>
        <v>3543.56</v>
      </c>
      <c r="D21" s="14" t="s">
        <v>72</v>
      </c>
      <c r="E21" s="15" t="s">
        <v>77</v>
      </c>
    </row>
    <row r="22" spans="2:5" ht="15" customHeight="1" x14ac:dyDescent="0.3">
      <c r="B22" s="16" t="s">
        <v>97</v>
      </c>
      <c r="C22" s="20">
        <v>718.95</v>
      </c>
      <c r="D22" s="14" t="s">
        <v>66</v>
      </c>
      <c r="E22" s="15" t="s">
        <v>79</v>
      </c>
    </row>
    <row r="23" spans="2:5" ht="15" customHeight="1" x14ac:dyDescent="0.3">
      <c r="B23" s="16" t="s">
        <v>98</v>
      </c>
      <c r="C23" s="20">
        <v>320.7</v>
      </c>
      <c r="D23" s="14" t="s">
        <v>66</v>
      </c>
      <c r="E23" s="15" t="s">
        <v>81</v>
      </c>
    </row>
    <row r="24" spans="2:5" ht="15" customHeight="1" x14ac:dyDescent="0.3">
      <c r="B24" s="16" t="s">
        <v>99</v>
      </c>
      <c r="C24" s="17">
        <v>1.2</v>
      </c>
      <c r="D24" s="14" t="s">
        <v>83</v>
      </c>
      <c r="E24" s="15" t="s">
        <v>100</v>
      </c>
    </row>
    <row r="26" spans="2:5" ht="15" customHeight="1" x14ac:dyDescent="0.3">
      <c r="B26" s="89" t="s">
        <v>101</v>
      </c>
      <c r="C26" s="89"/>
      <c r="D26" s="89"/>
      <c r="E26" s="89"/>
    </row>
    <row r="27" spans="2:5" ht="15" customHeight="1" x14ac:dyDescent="0.3">
      <c r="B27" s="16" t="s">
        <v>102</v>
      </c>
      <c r="C27" s="17">
        <v>5</v>
      </c>
      <c r="D27" s="14" t="s">
        <v>103</v>
      </c>
      <c r="E27" s="15" t="s">
        <v>104</v>
      </c>
    </row>
    <row r="28" spans="2:5" ht="15" customHeight="1" x14ac:dyDescent="0.3">
      <c r="B28" s="16" t="s">
        <v>105</v>
      </c>
      <c r="C28" s="22">
        <v>7.0000000000000007E-2</v>
      </c>
      <c r="D28" s="14" t="s">
        <v>106</v>
      </c>
      <c r="E28" s="15" t="s">
        <v>107</v>
      </c>
    </row>
    <row r="29" spans="2:5" ht="15" customHeight="1" x14ac:dyDescent="0.3">
      <c r="B29" s="16" t="s">
        <v>108</v>
      </c>
      <c r="C29" s="22">
        <v>7.4999999999999997E-2</v>
      </c>
      <c r="D29" s="14" t="s">
        <v>106</v>
      </c>
      <c r="E29" s="15" t="s">
        <v>109</v>
      </c>
    </row>
    <row r="30" spans="2:5" ht="15" customHeight="1" x14ac:dyDescent="0.3">
      <c r="B30" s="16" t="s">
        <v>110</v>
      </c>
      <c r="C30" s="17">
        <v>1.2</v>
      </c>
      <c r="D30" s="14" t="s">
        <v>83</v>
      </c>
      <c r="E30" s="15" t="s">
        <v>111</v>
      </c>
    </row>
    <row r="31" spans="2:5" ht="15" customHeight="1" x14ac:dyDescent="0.3">
      <c r="B31" s="16" t="s">
        <v>112</v>
      </c>
      <c r="C31" s="23">
        <f>C28+C30*C29</f>
        <v>0.16</v>
      </c>
      <c r="D31" s="14" t="s">
        <v>106</v>
      </c>
      <c r="E31" s="15" t="s">
        <v>113</v>
      </c>
    </row>
    <row r="32" spans="2:5" ht="15" customHeight="1" x14ac:dyDescent="0.3">
      <c r="B32" s="16" t="s">
        <v>114</v>
      </c>
      <c r="C32" s="22">
        <v>9.2499999999999999E-2</v>
      </c>
      <c r="D32" s="14" t="s">
        <v>106</v>
      </c>
      <c r="E32" s="15" t="s">
        <v>115</v>
      </c>
    </row>
    <row r="33" spans="2:5" ht="15" customHeight="1" x14ac:dyDescent="0.3">
      <c r="B33" s="16" t="s">
        <v>116</v>
      </c>
      <c r="C33" s="22">
        <v>0.252</v>
      </c>
      <c r="D33" s="14" t="s">
        <v>106</v>
      </c>
      <c r="E33" s="15" t="s">
        <v>117</v>
      </c>
    </row>
    <row r="34" spans="2:5" ht="15" customHeight="1" x14ac:dyDescent="0.3">
      <c r="B34" s="16" t="s">
        <v>118</v>
      </c>
      <c r="C34" s="23">
        <f>C32*(1-C33)</f>
        <v>6.9190000000000002E-2</v>
      </c>
      <c r="D34" s="14" t="s">
        <v>106</v>
      </c>
      <c r="E34" s="15" t="s">
        <v>119</v>
      </c>
    </row>
    <row r="35" spans="2:5" ht="15" customHeight="1" x14ac:dyDescent="0.3">
      <c r="B35" s="16" t="s">
        <v>120</v>
      </c>
      <c r="C35" s="22">
        <v>0.4</v>
      </c>
      <c r="D35" s="14" t="s">
        <v>106</v>
      </c>
      <c r="E35" s="15" t="s">
        <v>121</v>
      </c>
    </row>
    <row r="36" spans="2:5" ht="15" customHeight="1" x14ac:dyDescent="0.3">
      <c r="B36" s="16" t="s">
        <v>122</v>
      </c>
      <c r="C36" s="23">
        <f>1-C35</f>
        <v>0.6</v>
      </c>
      <c r="D36" s="14" t="s">
        <v>106</v>
      </c>
      <c r="E36" s="15" t="s">
        <v>123</v>
      </c>
    </row>
    <row r="37" spans="2:5" ht="15" customHeight="1" x14ac:dyDescent="0.3">
      <c r="B37" s="16" t="s">
        <v>124</v>
      </c>
      <c r="C37" s="24">
        <f>C36*C31+C35*C32*(1-C33)</f>
        <v>0.12367600000000001</v>
      </c>
      <c r="D37" s="14" t="s">
        <v>106</v>
      </c>
      <c r="E37" s="15" t="s">
        <v>125</v>
      </c>
    </row>
    <row r="39" spans="2:5" ht="15" customHeight="1" x14ac:dyDescent="0.3">
      <c r="B39" s="16" t="s">
        <v>126</v>
      </c>
      <c r="C39" s="25">
        <v>0.28000000000000003</v>
      </c>
      <c r="D39" s="14" t="s">
        <v>106</v>
      </c>
      <c r="E39" s="15" t="s">
        <v>127</v>
      </c>
    </row>
    <row r="40" spans="2:5" ht="15" customHeight="1" x14ac:dyDescent="0.3">
      <c r="B40" s="16" t="s">
        <v>128</v>
      </c>
      <c r="C40" s="22">
        <v>0.24</v>
      </c>
      <c r="D40" s="14" t="s">
        <v>106</v>
      </c>
      <c r="E40" s="15" t="s">
        <v>129</v>
      </c>
    </row>
    <row r="41" spans="2:5" ht="15" customHeight="1" x14ac:dyDescent="0.3">
      <c r="B41" s="16" t="s">
        <v>130</v>
      </c>
      <c r="C41" s="22">
        <v>0.2</v>
      </c>
      <c r="D41" s="14" t="s">
        <v>106</v>
      </c>
      <c r="E41" s="15" t="s">
        <v>131</v>
      </c>
    </row>
    <row r="42" spans="2:5" ht="15" customHeight="1" x14ac:dyDescent="0.3">
      <c r="B42" s="16" t="s">
        <v>132</v>
      </c>
      <c r="C42" s="22">
        <v>0.16</v>
      </c>
      <c r="D42" s="14" t="s">
        <v>106</v>
      </c>
      <c r="E42" s="15" t="s">
        <v>133</v>
      </c>
    </row>
    <row r="43" spans="2:5" ht="15" customHeight="1" x14ac:dyDescent="0.3">
      <c r="B43" s="16" t="s">
        <v>134</v>
      </c>
      <c r="C43" s="22">
        <v>0.12</v>
      </c>
      <c r="D43" s="14" t="s">
        <v>106</v>
      </c>
      <c r="E43" s="15" t="s">
        <v>135</v>
      </c>
    </row>
    <row r="44" spans="2:5" ht="15" customHeight="1" x14ac:dyDescent="0.3">
      <c r="B44" s="16" t="s">
        <v>136</v>
      </c>
      <c r="C44" s="25">
        <v>0.28000000000000003</v>
      </c>
      <c r="D44" s="14" t="s">
        <v>106</v>
      </c>
      <c r="E44" s="15" t="s">
        <v>137</v>
      </c>
    </row>
    <row r="45" spans="2:5" ht="15" customHeight="1" x14ac:dyDescent="0.3">
      <c r="B45" s="16" t="s">
        <v>138</v>
      </c>
      <c r="C45" s="22">
        <v>0.22</v>
      </c>
      <c r="D45" s="14" t="s">
        <v>106</v>
      </c>
      <c r="E45" s="15" t="s">
        <v>139</v>
      </c>
    </row>
    <row r="46" spans="2:5" ht="15" customHeight="1" x14ac:dyDescent="0.3">
      <c r="B46" s="16" t="s">
        <v>140</v>
      </c>
      <c r="C46" s="22">
        <v>0.12</v>
      </c>
      <c r="D46" s="14" t="s">
        <v>106</v>
      </c>
      <c r="E46" s="15" t="s">
        <v>141</v>
      </c>
    </row>
    <row r="47" spans="2:5" ht="15" customHeight="1" x14ac:dyDescent="0.3">
      <c r="B47" s="16" t="s">
        <v>142</v>
      </c>
      <c r="C47" s="22">
        <v>0.05</v>
      </c>
      <c r="D47" s="14" t="s">
        <v>106</v>
      </c>
      <c r="E47" s="15" t="s">
        <v>143</v>
      </c>
    </row>
    <row r="48" spans="2:5" ht="15" customHeight="1" x14ac:dyDescent="0.3">
      <c r="B48" s="16" t="s">
        <v>144</v>
      </c>
      <c r="C48" s="25">
        <v>0.05</v>
      </c>
      <c r="D48" s="14" t="s">
        <v>106</v>
      </c>
      <c r="E48" s="15" t="s">
        <v>145</v>
      </c>
    </row>
    <row r="50" spans="2:5" ht="15" customHeight="1" x14ac:dyDescent="0.3">
      <c r="B50" s="89" t="s">
        <v>146</v>
      </c>
      <c r="C50" s="89"/>
      <c r="D50" s="89"/>
      <c r="E50" s="89"/>
    </row>
    <row r="51" spans="2:5" ht="15" customHeight="1" x14ac:dyDescent="0.3">
      <c r="B51" s="16" t="s">
        <v>147</v>
      </c>
      <c r="C51" s="13">
        <v>475</v>
      </c>
      <c r="D51" s="14" t="s">
        <v>66</v>
      </c>
      <c r="E51" s="15" t="s">
        <v>148</v>
      </c>
    </row>
    <row r="52" spans="2:5" ht="15" customHeight="1" x14ac:dyDescent="0.3">
      <c r="B52" s="16" t="s">
        <v>149</v>
      </c>
      <c r="C52" s="23">
        <f>C51/C17-1</f>
        <v>0.43482857574384526</v>
      </c>
      <c r="D52" s="14" t="s">
        <v>106</v>
      </c>
      <c r="E52" s="15" t="s">
        <v>150</v>
      </c>
    </row>
    <row r="53" spans="2:5" ht="15" customHeight="1" x14ac:dyDescent="0.3">
      <c r="B53" s="16" t="s">
        <v>151</v>
      </c>
      <c r="C53" s="18">
        <f>C51*C18</f>
        <v>3420</v>
      </c>
      <c r="D53" s="14" t="s">
        <v>72</v>
      </c>
      <c r="E53" s="15" t="s">
        <v>152</v>
      </c>
    </row>
    <row r="54" spans="2:5" ht="15" customHeight="1" x14ac:dyDescent="0.3">
      <c r="B54" s="16" t="s">
        <v>153</v>
      </c>
      <c r="C54" s="19">
        <v>1160</v>
      </c>
      <c r="D54" s="14" t="s">
        <v>72</v>
      </c>
      <c r="E54" s="15" t="s">
        <v>154</v>
      </c>
    </row>
    <row r="55" spans="2:5" ht="15" customHeight="1" x14ac:dyDescent="0.3">
      <c r="B55" s="16" t="s">
        <v>155</v>
      </c>
      <c r="C55" s="18">
        <f>C53+C54</f>
        <v>4580</v>
      </c>
      <c r="D55" s="14" t="s">
        <v>72</v>
      </c>
      <c r="E55" s="15" t="s">
        <v>156</v>
      </c>
    </row>
    <row r="56" spans="2:5" ht="15" customHeight="1" x14ac:dyDescent="0.3">
      <c r="B56" s="16" t="s">
        <v>157</v>
      </c>
      <c r="C56" s="26">
        <f>C55/Target_Financials!F9</f>
        <v>8.9803921568627452</v>
      </c>
      <c r="D56" s="14" t="s">
        <v>83</v>
      </c>
      <c r="E56" s="15" t="s">
        <v>158</v>
      </c>
    </row>
    <row r="58" spans="2:5" ht="15" customHeight="1" x14ac:dyDescent="0.3">
      <c r="B58" s="16" t="s">
        <v>159</v>
      </c>
      <c r="C58" s="22">
        <v>1.4999999999999999E-2</v>
      </c>
      <c r="D58" s="14" t="s">
        <v>160</v>
      </c>
      <c r="E58" s="15" t="s">
        <v>161</v>
      </c>
    </row>
    <row r="59" spans="2:5" ht="15" customHeight="1" x14ac:dyDescent="0.3">
      <c r="B59" s="16" t="s">
        <v>162</v>
      </c>
      <c r="C59" s="22">
        <v>0.01</v>
      </c>
      <c r="D59" s="14" t="s">
        <v>163</v>
      </c>
      <c r="E59" s="15" t="s">
        <v>164</v>
      </c>
    </row>
    <row r="61" spans="2:5" ht="15" customHeight="1" x14ac:dyDescent="0.3">
      <c r="B61" s="16" t="s">
        <v>165</v>
      </c>
      <c r="C61" s="25">
        <v>8.7499999999999994E-2</v>
      </c>
      <c r="D61" s="14" t="s">
        <v>106</v>
      </c>
      <c r="E61" s="15" t="s">
        <v>166</v>
      </c>
    </row>
    <row r="62" spans="2:5" ht="15" customHeight="1" x14ac:dyDescent="0.3">
      <c r="B62" s="16" t="s">
        <v>167</v>
      </c>
      <c r="C62" s="22">
        <v>0.252</v>
      </c>
      <c r="D62" s="14" t="s">
        <v>106</v>
      </c>
      <c r="E62" s="15" t="s">
        <v>168</v>
      </c>
    </row>
    <row r="63" spans="2:5" ht="15" customHeight="1" x14ac:dyDescent="0.3">
      <c r="B63" s="16" t="s">
        <v>169</v>
      </c>
      <c r="C63" s="26">
        <f>C7/Acquirer_Financials!F19</f>
        <v>41.829565530327812</v>
      </c>
      <c r="D63" s="14" t="s">
        <v>83</v>
      </c>
      <c r="E63" s="15" t="s">
        <v>170</v>
      </c>
    </row>
    <row r="65" spans="2:5" ht="15" customHeight="1" x14ac:dyDescent="0.3">
      <c r="B65" s="89" t="s">
        <v>171</v>
      </c>
      <c r="C65" s="89"/>
      <c r="D65" s="89"/>
      <c r="E65" s="89"/>
    </row>
    <row r="66" spans="2:5" ht="15" customHeight="1" x14ac:dyDescent="0.3">
      <c r="B66" s="16" t="s">
        <v>172</v>
      </c>
      <c r="C66" s="25">
        <v>0.06</v>
      </c>
      <c r="D66" s="14" t="s">
        <v>106</v>
      </c>
      <c r="E66" s="15" t="s">
        <v>173</v>
      </c>
    </row>
    <row r="67" spans="2:5" ht="15" customHeight="1" x14ac:dyDescent="0.3">
      <c r="B67" s="16" t="s">
        <v>174</v>
      </c>
      <c r="C67" s="25">
        <v>0.04</v>
      </c>
      <c r="D67" s="14" t="s">
        <v>106</v>
      </c>
      <c r="E67" s="15" t="s">
        <v>175</v>
      </c>
    </row>
    <row r="68" spans="2:5" ht="15" customHeight="1" x14ac:dyDescent="0.3">
      <c r="B68" s="16" t="s">
        <v>176</v>
      </c>
      <c r="C68" s="24">
        <f>C66+C67</f>
        <v>0.1</v>
      </c>
      <c r="D68" s="14" t="s">
        <v>106</v>
      </c>
      <c r="E68" s="15" t="s">
        <v>177</v>
      </c>
    </row>
    <row r="69" spans="2:5" ht="15" customHeight="1" x14ac:dyDescent="0.3">
      <c r="B69" s="16" t="s">
        <v>178</v>
      </c>
      <c r="C69" s="22">
        <v>0.25</v>
      </c>
      <c r="D69" s="14" t="s">
        <v>106</v>
      </c>
      <c r="E69" s="15" t="s">
        <v>179</v>
      </c>
    </row>
    <row r="70" spans="2:5" ht="15" customHeight="1" x14ac:dyDescent="0.3">
      <c r="B70" s="16" t="s">
        <v>180</v>
      </c>
      <c r="C70" s="22">
        <v>0.65</v>
      </c>
      <c r="D70" s="14" t="s">
        <v>106</v>
      </c>
      <c r="E70" s="15" t="s">
        <v>181</v>
      </c>
    </row>
    <row r="71" spans="2:5" ht="15" customHeight="1" x14ac:dyDescent="0.3">
      <c r="B71" s="16" t="s">
        <v>182</v>
      </c>
      <c r="C71" s="22">
        <v>1</v>
      </c>
      <c r="D71" s="14" t="s">
        <v>106</v>
      </c>
      <c r="E71" s="15" t="s">
        <v>183</v>
      </c>
    </row>
    <row r="72" spans="2:5" ht="15" customHeight="1" x14ac:dyDescent="0.3">
      <c r="B72" s="16" t="s">
        <v>184</v>
      </c>
      <c r="C72" s="19">
        <v>150</v>
      </c>
      <c r="D72" s="14" t="s">
        <v>72</v>
      </c>
      <c r="E72" s="15" t="s">
        <v>185</v>
      </c>
    </row>
    <row r="74" spans="2:5" ht="15" customHeight="1" x14ac:dyDescent="0.3">
      <c r="B74" s="89" t="s">
        <v>186</v>
      </c>
      <c r="C74" s="89"/>
      <c r="D74" s="89"/>
      <c r="E74" s="89"/>
    </row>
    <row r="75" spans="2:5" ht="15" customHeight="1" x14ac:dyDescent="0.3">
      <c r="B75" s="11" t="s">
        <v>187</v>
      </c>
      <c r="C75" s="11" t="s">
        <v>188</v>
      </c>
      <c r="D75" s="11" t="s">
        <v>189</v>
      </c>
      <c r="E75" s="11" t="s">
        <v>190</v>
      </c>
    </row>
    <row r="76" spans="2:5" ht="15" customHeight="1" x14ac:dyDescent="0.3">
      <c r="B76" s="12" t="s">
        <v>191</v>
      </c>
      <c r="C76" s="27">
        <v>1</v>
      </c>
      <c r="D76" s="27">
        <v>0</v>
      </c>
      <c r="E76" s="15" t="s">
        <v>192</v>
      </c>
    </row>
    <row r="77" spans="2:5" ht="15" customHeight="1" x14ac:dyDescent="0.3">
      <c r="B77" s="12" t="s">
        <v>193</v>
      </c>
      <c r="C77" s="27">
        <v>0</v>
      </c>
      <c r="D77" s="27">
        <v>1</v>
      </c>
      <c r="E77" s="15" t="s">
        <v>194</v>
      </c>
    </row>
    <row r="78" spans="2:5" ht="15" customHeight="1" x14ac:dyDescent="0.3">
      <c r="B78" s="12" t="s">
        <v>195</v>
      </c>
      <c r="C78" s="27">
        <v>0.5</v>
      </c>
      <c r="D78" s="27">
        <v>0.5</v>
      </c>
      <c r="E78" s="15" t="s">
        <v>196</v>
      </c>
    </row>
  </sheetData>
  <mergeCells count="5">
    <mergeCell ref="B6:E6"/>
    <mergeCell ref="B26:E26"/>
    <mergeCell ref="B50:E50"/>
    <mergeCell ref="B65:E65"/>
    <mergeCell ref="B74:E7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8"/>
  <sheetViews>
    <sheetView zoomScaleNormal="100" workbookViewId="0">
      <selection activeCell="J48" sqref="J48"/>
    </sheetView>
  </sheetViews>
  <sheetFormatPr defaultColWidth="8.6640625" defaultRowHeight="14.4" x14ac:dyDescent="0.3"/>
  <cols>
    <col min="1" max="1" width="2" customWidth="1"/>
    <col min="2" max="2" width="38" customWidth="1"/>
    <col min="3" max="10" width="13" customWidth="1"/>
  </cols>
  <sheetData>
    <row r="2" spans="2:9" ht="19.5" customHeight="1" x14ac:dyDescent="0.3">
      <c r="B2" s="9" t="s">
        <v>197</v>
      </c>
    </row>
    <row r="3" spans="2:9" ht="15" customHeight="1" x14ac:dyDescent="0.3">
      <c r="B3" s="10" t="s">
        <v>198</v>
      </c>
    </row>
    <row r="5" spans="2:9" ht="15" customHeight="1" x14ac:dyDescent="0.3">
      <c r="B5" s="28" t="s">
        <v>199</v>
      </c>
      <c r="C5" s="11" t="s">
        <v>200</v>
      </c>
      <c r="D5" s="11" t="s">
        <v>201</v>
      </c>
      <c r="E5" s="11" t="s">
        <v>202</v>
      </c>
      <c r="F5" s="11" t="s">
        <v>203</v>
      </c>
      <c r="G5" s="11" t="s">
        <v>204</v>
      </c>
      <c r="H5" s="11" t="s">
        <v>205</v>
      </c>
      <c r="I5" s="11" t="s">
        <v>206</v>
      </c>
    </row>
    <row r="6" spans="2:9" ht="15" customHeight="1" x14ac:dyDescent="0.3">
      <c r="B6" s="4" t="s">
        <v>207</v>
      </c>
      <c r="C6" s="29"/>
      <c r="D6" s="29"/>
      <c r="E6" s="29"/>
      <c r="F6" s="29"/>
      <c r="G6" s="29"/>
      <c r="H6" s="29"/>
      <c r="I6" s="29"/>
    </row>
    <row r="7" spans="2:9" ht="15" customHeight="1" x14ac:dyDescent="0.3">
      <c r="B7" s="12" t="s">
        <v>208</v>
      </c>
      <c r="C7" s="19">
        <v>5695</v>
      </c>
      <c r="D7" s="19">
        <v>6427</v>
      </c>
      <c r="E7" s="19">
        <v>8996</v>
      </c>
      <c r="F7" s="19">
        <v>10800</v>
      </c>
      <c r="G7" s="19">
        <v>12960</v>
      </c>
      <c r="H7" s="19">
        <v>15000</v>
      </c>
      <c r="I7" s="19">
        <v>16800</v>
      </c>
    </row>
    <row r="8" spans="2:9" ht="15" customHeight="1" x14ac:dyDescent="0.3">
      <c r="B8" s="15" t="s">
        <v>209</v>
      </c>
      <c r="D8" s="23">
        <f t="shared" ref="D8:I8" si="0">D7/C7-1</f>
        <v>0.12853380158033367</v>
      </c>
      <c r="E8" s="23">
        <f t="shared" si="0"/>
        <v>0.39971993153882068</v>
      </c>
      <c r="F8" s="23">
        <f t="shared" si="0"/>
        <v>0.20053357047576692</v>
      </c>
      <c r="G8" s="23">
        <f t="shared" si="0"/>
        <v>0.19999999999999996</v>
      </c>
      <c r="H8" s="23">
        <f t="shared" si="0"/>
        <v>0.15740740740740744</v>
      </c>
      <c r="I8" s="23">
        <f t="shared" si="0"/>
        <v>0.12000000000000011</v>
      </c>
    </row>
    <row r="9" spans="2:9" ht="15" customHeight="1" x14ac:dyDescent="0.3">
      <c r="B9" s="12" t="s">
        <v>210</v>
      </c>
      <c r="C9" s="19">
        <v>1878</v>
      </c>
      <c r="D9" s="19">
        <v>2313</v>
      </c>
      <c r="E9" s="19">
        <v>3598</v>
      </c>
      <c r="F9" s="19">
        <v>4320</v>
      </c>
      <c r="G9" s="19">
        <v>5313</v>
      </c>
      <c r="H9" s="19">
        <v>6150</v>
      </c>
      <c r="I9" s="19">
        <v>6888</v>
      </c>
    </row>
    <row r="10" spans="2:9" ht="15" customHeight="1" x14ac:dyDescent="0.3">
      <c r="B10" s="15" t="s">
        <v>211</v>
      </c>
      <c r="C10" s="23">
        <f t="shared" ref="C10:I10" si="1">C9/C7</f>
        <v>0.32976294995610184</v>
      </c>
      <c r="D10" s="23">
        <f t="shared" si="1"/>
        <v>0.35988797261552824</v>
      </c>
      <c r="E10" s="23">
        <f t="shared" si="1"/>
        <v>0.39995553579368609</v>
      </c>
      <c r="F10" s="23">
        <f t="shared" si="1"/>
        <v>0.4</v>
      </c>
      <c r="G10" s="23">
        <f t="shared" si="1"/>
        <v>0.40995370370370371</v>
      </c>
      <c r="H10" s="23">
        <f t="shared" si="1"/>
        <v>0.41</v>
      </c>
      <c r="I10" s="23">
        <f t="shared" si="1"/>
        <v>0.41</v>
      </c>
    </row>
    <row r="11" spans="2:9" ht="15" customHeight="1" x14ac:dyDescent="0.3">
      <c r="B11" s="16" t="s">
        <v>212</v>
      </c>
      <c r="C11" s="19">
        <v>250</v>
      </c>
      <c r="D11" s="19">
        <v>280</v>
      </c>
      <c r="E11" s="19">
        <v>320</v>
      </c>
      <c r="F11" s="19">
        <v>350</v>
      </c>
      <c r="G11" s="19">
        <v>390</v>
      </c>
      <c r="H11" s="19">
        <v>430</v>
      </c>
      <c r="I11" s="19">
        <v>475</v>
      </c>
    </row>
    <row r="12" spans="2:9" ht="15" customHeight="1" x14ac:dyDescent="0.3">
      <c r="B12" s="12" t="s">
        <v>213</v>
      </c>
      <c r="C12" s="18">
        <f t="shared" ref="C12:I12" si="2">C9-C11</f>
        <v>1628</v>
      </c>
      <c r="D12" s="18">
        <f t="shared" si="2"/>
        <v>2033</v>
      </c>
      <c r="E12" s="18">
        <f t="shared" si="2"/>
        <v>3278</v>
      </c>
      <c r="F12" s="18">
        <f t="shared" si="2"/>
        <v>3970</v>
      </c>
      <c r="G12" s="18">
        <f t="shared" si="2"/>
        <v>4923</v>
      </c>
      <c r="H12" s="18">
        <f t="shared" si="2"/>
        <v>5720</v>
      </c>
      <c r="I12" s="18">
        <f t="shared" si="2"/>
        <v>6413</v>
      </c>
    </row>
    <row r="13" spans="2:9" ht="15" customHeight="1" x14ac:dyDescent="0.3">
      <c r="B13" s="16" t="s">
        <v>214</v>
      </c>
      <c r="C13" s="19">
        <v>280</v>
      </c>
      <c r="D13" s="19">
        <v>250</v>
      </c>
      <c r="E13" s="19">
        <v>220</v>
      </c>
      <c r="F13" s="19">
        <v>195</v>
      </c>
      <c r="G13" s="19">
        <v>180</v>
      </c>
      <c r="H13" s="19">
        <v>170</v>
      </c>
      <c r="I13" s="19">
        <v>160</v>
      </c>
    </row>
    <row r="14" spans="2:9" ht="15" customHeight="1" x14ac:dyDescent="0.3">
      <c r="B14" s="16" t="s">
        <v>215</v>
      </c>
      <c r="C14" s="19">
        <v>550</v>
      </c>
      <c r="D14" s="19">
        <v>620</v>
      </c>
      <c r="E14" s="19">
        <v>680</v>
      </c>
      <c r="F14" s="19">
        <v>720</v>
      </c>
      <c r="G14" s="19">
        <v>780</v>
      </c>
      <c r="H14" s="19">
        <v>840</v>
      </c>
      <c r="I14" s="19">
        <v>900</v>
      </c>
    </row>
    <row r="15" spans="2:9" ht="15" customHeight="1" x14ac:dyDescent="0.3">
      <c r="B15" s="12" t="s">
        <v>216</v>
      </c>
      <c r="C15" s="18">
        <f t="shared" ref="C15:I15" si="3">C12-C13+C14</f>
        <v>1898</v>
      </c>
      <c r="D15" s="18">
        <f t="shared" si="3"/>
        <v>2403</v>
      </c>
      <c r="E15" s="18">
        <f t="shared" si="3"/>
        <v>3738</v>
      </c>
      <c r="F15" s="18">
        <f t="shared" si="3"/>
        <v>4495</v>
      </c>
      <c r="G15" s="18">
        <f t="shared" si="3"/>
        <v>5523</v>
      </c>
      <c r="H15" s="18">
        <f t="shared" si="3"/>
        <v>6390</v>
      </c>
      <c r="I15" s="18">
        <f t="shared" si="3"/>
        <v>7153</v>
      </c>
    </row>
    <row r="16" spans="2:9" ht="15" customHeight="1" x14ac:dyDescent="0.3">
      <c r="B16" s="16" t="s">
        <v>217</v>
      </c>
      <c r="C16" s="18">
        <f t="shared" ref="C16:I16" si="4">C15*0.252</f>
        <v>478.29599999999999</v>
      </c>
      <c r="D16" s="18">
        <f t="shared" si="4"/>
        <v>605.55600000000004</v>
      </c>
      <c r="E16" s="18">
        <f t="shared" si="4"/>
        <v>941.976</v>
      </c>
      <c r="F16" s="18">
        <f t="shared" si="4"/>
        <v>1132.74</v>
      </c>
      <c r="G16" s="18">
        <f t="shared" si="4"/>
        <v>1391.796</v>
      </c>
      <c r="H16" s="18">
        <f t="shared" si="4"/>
        <v>1610.28</v>
      </c>
      <c r="I16" s="18">
        <f t="shared" si="4"/>
        <v>1802.556</v>
      </c>
    </row>
    <row r="17" spans="2:9" ht="15" customHeight="1" x14ac:dyDescent="0.3">
      <c r="B17" s="30" t="s">
        <v>218</v>
      </c>
      <c r="C17" s="31">
        <f t="shared" ref="C17:I17" si="5">C15-C16</f>
        <v>1419.704</v>
      </c>
      <c r="D17" s="31">
        <f t="shared" si="5"/>
        <v>1797.444</v>
      </c>
      <c r="E17" s="31">
        <f t="shared" si="5"/>
        <v>2796.0239999999999</v>
      </c>
      <c r="F17" s="31">
        <f t="shared" si="5"/>
        <v>3362.26</v>
      </c>
      <c r="G17" s="31">
        <f t="shared" si="5"/>
        <v>4131.2039999999997</v>
      </c>
      <c r="H17" s="31">
        <f t="shared" si="5"/>
        <v>4779.72</v>
      </c>
      <c r="I17" s="31">
        <f t="shared" si="5"/>
        <v>5350.4439999999995</v>
      </c>
    </row>
    <row r="18" spans="2:9" ht="15" customHeight="1" x14ac:dyDescent="0.3">
      <c r="B18" s="16" t="s">
        <v>219</v>
      </c>
      <c r="C18" s="17">
        <v>247.5</v>
      </c>
      <c r="D18" s="17">
        <v>247.5</v>
      </c>
      <c r="E18" s="17">
        <v>247.5</v>
      </c>
      <c r="F18" s="17">
        <v>247.5</v>
      </c>
      <c r="G18" s="17">
        <v>247.5</v>
      </c>
      <c r="H18" s="17">
        <v>247.5</v>
      </c>
      <c r="I18" s="17">
        <v>247.5</v>
      </c>
    </row>
    <row r="19" spans="2:9" ht="15" customHeight="1" x14ac:dyDescent="0.3">
      <c r="B19" s="30" t="s">
        <v>220</v>
      </c>
      <c r="C19" s="32">
        <f t="shared" ref="C19:I19" si="6">C17/C18</f>
        <v>5.7361777777777778</v>
      </c>
      <c r="D19" s="32">
        <f t="shared" si="6"/>
        <v>7.2623999999999995</v>
      </c>
      <c r="E19" s="32">
        <f t="shared" si="6"/>
        <v>11.297066666666666</v>
      </c>
      <c r="F19" s="32">
        <f t="shared" si="6"/>
        <v>13.584888888888889</v>
      </c>
      <c r="G19" s="32">
        <f t="shared" si="6"/>
        <v>16.691733333333332</v>
      </c>
      <c r="H19" s="32">
        <f t="shared" si="6"/>
        <v>19.312000000000001</v>
      </c>
      <c r="I19" s="32">
        <f t="shared" si="6"/>
        <v>21.617955555555554</v>
      </c>
    </row>
    <row r="21" spans="2:9" ht="15" customHeight="1" x14ac:dyDescent="0.3">
      <c r="B21" s="4" t="s">
        <v>221</v>
      </c>
      <c r="C21" s="29"/>
      <c r="D21" s="29"/>
      <c r="E21" s="29"/>
      <c r="F21" s="29"/>
      <c r="G21" s="29"/>
      <c r="H21" s="29"/>
      <c r="I21" s="29"/>
    </row>
    <row r="22" spans="2:9" ht="15" customHeight="1" x14ac:dyDescent="0.3">
      <c r="B22" s="16" t="s">
        <v>222</v>
      </c>
      <c r="C22" s="19">
        <v>5500</v>
      </c>
      <c r="D22" s="19">
        <v>5300</v>
      </c>
      <c r="E22" s="19">
        <v>5100</v>
      </c>
      <c r="F22" s="19">
        <v>5000</v>
      </c>
      <c r="G22" s="19">
        <v>4800</v>
      </c>
      <c r="H22" s="19">
        <v>4600</v>
      </c>
      <c r="I22" s="19">
        <v>4400</v>
      </c>
    </row>
    <row r="23" spans="2:9" ht="15" customHeight="1" x14ac:dyDescent="0.3">
      <c r="B23" s="16" t="s">
        <v>223</v>
      </c>
      <c r="C23" s="19">
        <v>1200</v>
      </c>
      <c r="D23" s="19">
        <v>1400</v>
      </c>
      <c r="E23" s="19">
        <v>1350</v>
      </c>
      <c r="F23" s="19">
        <v>1500</v>
      </c>
      <c r="G23" s="19">
        <v>1650</v>
      </c>
      <c r="H23" s="19">
        <v>1800</v>
      </c>
      <c r="I23" s="19">
        <v>1950</v>
      </c>
    </row>
    <row r="24" spans="2:9" ht="15" customHeight="1" x14ac:dyDescent="0.3">
      <c r="B24" s="12" t="s">
        <v>224</v>
      </c>
      <c r="C24" s="18">
        <f t="shared" ref="C24:I24" si="7">C22-C23</f>
        <v>4300</v>
      </c>
      <c r="D24" s="18">
        <f t="shared" si="7"/>
        <v>3900</v>
      </c>
      <c r="E24" s="18">
        <f t="shared" si="7"/>
        <v>3750</v>
      </c>
      <c r="F24" s="18">
        <f t="shared" si="7"/>
        <v>3500</v>
      </c>
      <c r="G24" s="18">
        <f t="shared" si="7"/>
        <v>3150</v>
      </c>
      <c r="H24" s="18">
        <f t="shared" si="7"/>
        <v>2800</v>
      </c>
      <c r="I24" s="18">
        <f t="shared" si="7"/>
        <v>2450</v>
      </c>
    </row>
    <row r="25" spans="2:9" ht="15" customHeight="1" x14ac:dyDescent="0.3">
      <c r="B25" s="16" t="s">
        <v>225</v>
      </c>
      <c r="C25" s="19">
        <v>36500</v>
      </c>
      <c r="D25" s="19">
        <v>38200</v>
      </c>
      <c r="E25" s="19">
        <v>40500</v>
      </c>
      <c r="F25" s="19">
        <v>42800</v>
      </c>
      <c r="G25" s="19">
        <v>45600</v>
      </c>
      <c r="H25" s="19">
        <v>48900</v>
      </c>
      <c r="I25" s="19">
        <v>52800</v>
      </c>
    </row>
    <row r="27" spans="2:9" ht="15" customHeight="1" x14ac:dyDescent="0.3">
      <c r="B27" s="1" t="s">
        <v>226</v>
      </c>
    </row>
    <row r="28" spans="2:9" ht="15" customHeight="1" x14ac:dyDescent="0.3">
      <c r="B28" s="1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8"/>
  <sheetViews>
    <sheetView zoomScaleNormal="100" workbookViewId="0"/>
  </sheetViews>
  <sheetFormatPr defaultColWidth="8.6640625" defaultRowHeight="14.4" x14ac:dyDescent="0.3"/>
  <cols>
    <col min="1" max="1" width="2" customWidth="1"/>
    <col min="2" max="2" width="38" customWidth="1"/>
    <col min="3" max="10" width="13" customWidth="1"/>
  </cols>
  <sheetData>
    <row r="2" spans="2:9" ht="19.5" customHeight="1" x14ac:dyDescent="0.3">
      <c r="B2" s="9" t="s">
        <v>228</v>
      </c>
    </row>
    <row r="3" spans="2:9" ht="15" customHeight="1" x14ac:dyDescent="0.3">
      <c r="B3" s="10" t="s">
        <v>198</v>
      </c>
    </row>
    <row r="5" spans="2:9" ht="15" customHeight="1" x14ac:dyDescent="0.3">
      <c r="B5" s="28" t="s">
        <v>199</v>
      </c>
      <c r="C5" s="11" t="s">
        <v>200</v>
      </c>
      <c r="D5" s="11" t="s">
        <v>201</v>
      </c>
      <c r="E5" s="11" t="s">
        <v>202</v>
      </c>
      <c r="F5" s="11" t="s">
        <v>203</v>
      </c>
      <c r="G5" s="11" t="s">
        <v>204</v>
      </c>
      <c r="H5" s="11" t="s">
        <v>205</v>
      </c>
      <c r="I5" s="11" t="s">
        <v>206</v>
      </c>
    </row>
    <row r="6" spans="2:9" ht="15" customHeight="1" x14ac:dyDescent="0.3">
      <c r="B6" s="4" t="s">
        <v>207</v>
      </c>
      <c r="C6" s="29"/>
      <c r="D6" s="29"/>
      <c r="E6" s="29"/>
      <c r="F6" s="29"/>
      <c r="G6" s="29"/>
      <c r="H6" s="29"/>
      <c r="I6" s="29"/>
    </row>
    <row r="7" spans="2:9" ht="15" customHeight="1" x14ac:dyDescent="0.3">
      <c r="B7" s="12" t="s">
        <v>208</v>
      </c>
      <c r="C7" s="19">
        <v>545</v>
      </c>
      <c r="D7" s="19">
        <v>849</v>
      </c>
      <c r="E7" s="19">
        <v>1208</v>
      </c>
      <c r="F7" s="19">
        <v>1500</v>
      </c>
      <c r="G7" s="19">
        <v>1920</v>
      </c>
      <c r="H7" s="19">
        <v>2381</v>
      </c>
      <c r="I7" s="19">
        <v>2857</v>
      </c>
    </row>
    <row r="8" spans="2:9" ht="15" customHeight="1" x14ac:dyDescent="0.3">
      <c r="B8" s="15" t="s">
        <v>209</v>
      </c>
      <c r="D8" s="23">
        <f t="shared" ref="D8:I8" si="0">D7/C7-1</f>
        <v>0.55779816513761471</v>
      </c>
      <c r="E8" s="23">
        <f t="shared" si="0"/>
        <v>0.42285041224970543</v>
      </c>
      <c r="F8" s="23">
        <f t="shared" si="0"/>
        <v>0.24172185430463577</v>
      </c>
      <c r="G8" s="23">
        <f t="shared" si="0"/>
        <v>0.28000000000000003</v>
      </c>
      <c r="H8" s="23">
        <f t="shared" si="0"/>
        <v>0.24010416666666656</v>
      </c>
      <c r="I8" s="23">
        <f t="shared" si="0"/>
        <v>0.19991600167996637</v>
      </c>
    </row>
    <row r="9" spans="2:9" ht="15" customHeight="1" x14ac:dyDescent="0.3">
      <c r="B9" s="12" t="s">
        <v>210</v>
      </c>
      <c r="C9" s="19">
        <v>166</v>
      </c>
      <c r="D9" s="19">
        <v>279</v>
      </c>
      <c r="E9" s="19">
        <v>425</v>
      </c>
      <c r="F9" s="19">
        <v>510</v>
      </c>
      <c r="G9" s="19">
        <v>653</v>
      </c>
      <c r="H9" s="19">
        <v>810</v>
      </c>
      <c r="I9" s="19">
        <v>972</v>
      </c>
    </row>
    <row r="10" spans="2:9" ht="15" customHeight="1" x14ac:dyDescent="0.3">
      <c r="B10" s="15" t="s">
        <v>211</v>
      </c>
      <c r="C10" s="23">
        <f t="shared" ref="C10:I10" si="1">C9/C7</f>
        <v>0.30458715596330277</v>
      </c>
      <c r="D10" s="23">
        <f t="shared" si="1"/>
        <v>0.32862190812720848</v>
      </c>
      <c r="E10" s="23">
        <f t="shared" si="1"/>
        <v>0.35182119205298013</v>
      </c>
      <c r="F10" s="23">
        <f t="shared" si="1"/>
        <v>0.34</v>
      </c>
      <c r="G10" s="23">
        <f t="shared" si="1"/>
        <v>0.34010416666666665</v>
      </c>
      <c r="H10" s="23">
        <f t="shared" si="1"/>
        <v>0.34019319613607729</v>
      </c>
      <c r="I10" s="23">
        <f t="shared" si="1"/>
        <v>0.34021701085054251</v>
      </c>
    </row>
    <row r="11" spans="2:9" ht="15" customHeight="1" x14ac:dyDescent="0.3">
      <c r="B11" s="16" t="s">
        <v>229</v>
      </c>
      <c r="C11" s="19">
        <v>120</v>
      </c>
      <c r="D11" s="19">
        <v>195</v>
      </c>
      <c r="E11" s="19">
        <v>290</v>
      </c>
      <c r="F11" s="19">
        <v>345</v>
      </c>
      <c r="G11" s="19">
        <v>422</v>
      </c>
      <c r="H11" s="19">
        <v>524</v>
      </c>
      <c r="I11" s="19">
        <v>628</v>
      </c>
    </row>
    <row r="12" spans="2:9" ht="15" customHeight="1" x14ac:dyDescent="0.3">
      <c r="B12" s="12" t="s">
        <v>213</v>
      </c>
      <c r="C12" s="18">
        <f t="shared" ref="C12:I12" si="2">C9-C11</f>
        <v>46</v>
      </c>
      <c r="D12" s="18">
        <f t="shared" si="2"/>
        <v>84</v>
      </c>
      <c r="E12" s="18">
        <f t="shared" si="2"/>
        <v>135</v>
      </c>
      <c r="F12" s="18">
        <f t="shared" si="2"/>
        <v>165</v>
      </c>
      <c r="G12" s="18">
        <f t="shared" si="2"/>
        <v>231</v>
      </c>
      <c r="H12" s="18">
        <f t="shared" si="2"/>
        <v>286</v>
      </c>
      <c r="I12" s="18">
        <f t="shared" si="2"/>
        <v>344</v>
      </c>
    </row>
    <row r="13" spans="2:9" ht="15" customHeight="1" x14ac:dyDescent="0.3">
      <c r="B13" s="16" t="s">
        <v>230</v>
      </c>
      <c r="C13" s="19">
        <v>58</v>
      </c>
      <c r="D13" s="19">
        <v>75</v>
      </c>
      <c r="E13" s="19">
        <v>95</v>
      </c>
      <c r="F13" s="19">
        <v>115</v>
      </c>
      <c r="G13" s="19">
        <v>140</v>
      </c>
      <c r="H13" s="19">
        <v>165</v>
      </c>
      <c r="I13" s="19">
        <v>190</v>
      </c>
    </row>
    <row r="14" spans="2:9" ht="15" customHeight="1" x14ac:dyDescent="0.3">
      <c r="B14" s="16" t="s">
        <v>215</v>
      </c>
      <c r="C14" s="19">
        <v>12</v>
      </c>
      <c r="D14" s="19">
        <v>18</v>
      </c>
      <c r="E14" s="19">
        <v>25</v>
      </c>
      <c r="F14" s="19">
        <v>30</v>
      </c>
      <c r="G14" s="19">
        <v>35</v>
      </c>
      <c r="H14" s="19">
        <v>40</v>
      </c>
      <c r="I14" s="19">
        <v>45</v>
      </c>
    </row>
    <row r="15" spans="2:9" ht="15" customHeight="1" x14ac:dyDescent="0.3">
      <c r="B15" s="12" t="s">
        <v>216</v>
      </c>
      <c r="C15" s="18">
        <f t="shared" ref="C15:I15" si="3">C12-C13+C14</f>
        <v>0</v>
      </c>
      <c r="D15" s="18">
        <f t="shared" si="3"/>
        <v>27</v>
      </c>
      <c r="E15" s="18">
        <f t="shared" si="3"/>
        <v>65</v>
      </c>
      <c r="F15" s="18">
        <f t="shared" si="3"/>
        <v>80</v>
      </c>
      <c r="G15" s="18">
        <f t="shared" si="3"/>
        <v>126</v>
      </c>
      <c r="H15" s="18">
        <f t="shared" si="3"/>
        <v>161</v>
      </c>
      <c r="I15" s="18">
        <f t="shared" si="3"/>
        <v>199</v>
      </c>
    </row>
    <row r="16" spans="2:9" ht="15" customHeight="1" x14ac:dyDescent="0.3">
      <c r="B16" s="16" t="s">
        <v>217</v>
      </c>
      <c r="C16" s="18">
        <f t="shared" ref="C16:I16" si="4">MAX(C15*0.252,0)</f>
        <v>0</v>
      </c>
      <c r="D16" s="18">
        <f t="shared" si="4"/>
        <v>6.8040000000000003</v>
      </c>
      <c r="E16" s="18">
        <f t="shared" si="4"/>
        <v>16.38</v>
      </c>
      <c r="F16" s="18">
        <f t="shared" si="4"/>
        <v>20.16</v>
      </c>
      <c r="G16" s="18">
        <f t="shared" si="4"/>
        <v>31.751999999999999</v>
      </c>
      <c r="H16" s="18">
        <f t="shared" si="4"/>
        <v>40.572000000000003</v>
      </c>
      <c r="I16" s="18">
        <f t="shared" si="4"/>
        <v>50.148000000000003</v>
      </c>
    </row>
    <row r="17" spans="2:9" ht="15" customHeight="1" x14ac:dyDescent="0.3">
      <c r="B17" s="30" t="s">
        <v>218</v>
      </c>
      <c r="C17" s="31">
        <f t="shared" ref="C17:I17" si="5">C15-C16</f>
        <v>0</v>
      </c>
      <c r="D17" s="31">
        <f t="shared" si="5"/>
        <v>20.195999999999998</v>
      </c>
      <c r="E17" s="31">
        <f t="shared" si="5"/>
        <v>48.620000000000005</v>
      </c>
      <c r="F17" s="31">
        <f t="shared" si="5"/>
        <v>59.84</v>
      </c>
      <c r="G17" s="31">
        <f t="shared" si="5"/>
        <v>94.248000000000005</v>
      </c>
      <c r="H17" s="31">
        <f t="shared" si="5"/>
        <v>120.428</v>
      </c>
      <c r="I17" s="31">
        <f t="shared" si="5"/>
        <v>148.852</v>
      </c>
    </row>
    <row r="18" spans="2:9" ht="15" customHeight="1" x14ac:dyDescent="0.3">
      <c r="B18" s="16" t="s">
        <v>219</v>
      </c>
      <c r="C18" s="17">
        <v>7.2</v>
      </c>
      <c r="D18" s="17">
        <v>7.2</v>
      </c>
      <c r="E18" s="17">
        <v>7.2</v>
      </c>
      <c r="F18" s="17">
        <v>7.2</v>
      </c>
      <c r="G18" s="17">
        <v>7.2</v>
      </c>
      <c r="H18" s="17">
        <v>7.2</v>
      </c>
      <c r="I18" s="17">
        <v>7.2</v>
      </c>
    </row>
    <row r="19" spans="2:9" ht="15" customHeight="1" x14ac:dyDescent="0.3">
      <c r="B19" s="30" t="s">
        <v>220</v>
      </c>
      <c r="C19" s="32">
        <f t="shared" ref="C19:I19" si="6">C17/C18</f>
        <v>0</v>
      </c>
      <c r="D19" s="32">
        <f t="shared" si="6"/>
        <v>2.8049999999999997</v>
      </c>
      <c r="E19" s="32">
        <f t="shared" si="6"/>
        <v>6.7527777777777782</v>
      </c>
      <c r="F19" s="32">
        <f t="shared" si="6"/>
        <v>8.3111111111111118</v>
      </c>
      <c r="G19" s="32">
        <f t="shared" si="6"/>
        <v>13.09</v>
      </c>
      <c r="H19" s="32">
        <f t="shared" si="6"/>
        <v>16.726111111111109</v>
      </c>
      <c r="I19" s="32">
        <f t="shared" si="6"/>
        <v>20.673888888888889</v>
      </c>
    </row>
    <row r="21" spans="2:9" ht="15" customHeight="1" x14ac:dyDescent="0.3">
      <c r="B21" s="4" t="s">
        <v>221</v>
      </c>
      <c r="C21" s="29"/>
      <c r="D21" s="29"/>
      <c r="E21" s="29"/>
      <c r="F21" s="29"/>
      <c r="G21" s="29"/>
      <c r="H21" s="29"/>
      <c r="I21" s="29"/>
    </row>
    <row r="22" spans="2:9" ht="15" customHeight="1" x14ac:dyDescent="0.3">
      <c r="B22" s="16" t="s">
        <v>231</v>
      </c>
      <c r="C22" s="19">
        <v>620</v>
      </c>
      <c r="D22" s="19">
        <v>950</v>
      </c>
      <c r="E22" s="19">
        <v>1250</v>
      </c>
      <c r="F22" s="19">
        <v>1460</v>
      </c>
      <c r="G22" s="19">
        <v>1700</v>
      </c>
      <c r="H22" s="19">
        <v>1950</v>
      </c>
      <c r="I22" s="19">
        <v>2200</v>
      </c>
    </row>
    <row r="23" spans="2:9" ht="15" customHeight="1" x14ac:dyDescent="0.3">
      <c r="B23" s="16" t="s">
        <v>223</v>
      </c>
      <c r="C23" s="19">
        <v>150</v>
      </c>
      <c r="D23" s="19">
        <v>180</v>
      </c>
      <c r="E23" s="19">
        <v>260</v>
      </c>
      <c r="F23" s="19">
        <v>300</v>
      </c>
      <c r="G23" s="19">
        <v>340</v>
      </c>
      <c r="H23" s="19">
        <v>380</v>
      </c>
      <c r="I23" s="19">
        <v>420</v>
      </c>
    </row>
    <row r="24" spans="2:9" ht="15" customHeight="1" x14ac:dyDescent="0.3">
      <c r="B24" s="12" t="s">
        <v>224</v>
      </c>
      <c r="C24" s="18">
        <f t="shared" ref="C24:I24" si="7">C22-C23</f>
        <v>470</v>
      </c>
      <c r="D24" s="18">
        <f t="shared" si="7"/>
        <v>770</v>
      </c>
      <c r="E24" s="18">
        <f t="shared" si="7"/>
        <v>990</v>
      </c>
      <c r="F24" s="18">
        <f t="shared" si="7"/>
        <v>1160</v>
      </c>
      <c r="G24" s="18">
        <f t="shared" si="7"/>
        <v>1360</v>
      </c>
      <c r="H24" s="18">
        <f t="shared" si="7"/>
        <v>1570</v>
      </c>
      <c r="I24" s="18">
        <f t="shared" si="7"/>
        <v>1780</v>
      </c>
    </row>
    <row r="25" spans="2:9" ht="15" customHeight="1" x14ac:dyDescent="0.3">
      <c r="B25" s="16" t="s">
        <v>225</v>
      </c>
      <c r="C25" s="19">
        <v>340</v>
      </c>
      <c r="D25" s="19">
        <v>460</v>
      </c>
      <c r="E25" s="19">
        <v>540</v>
      </c>
      <c r="F25" s="19">
        <v>620</v>
      </c>
      <c r="G25" s="19">
        <v>730</v>
      </c>
      <c r="H25" s="19">
        <v>865</v>
      </c>
      <c r="I25" s="19">
        <v>1025</v>
      </c>
    </row>
    <row r="27" spans="2:9" ht="15" customHeight="1" x14ac:dyDescent="0.3">
      <c r="B27" s="1" t="s">
        <v>232</v>
      </c>
    </row>
    <row r="28" spans="2:9" ht="15" customHeight="1" x14ac:dyDescent="0.3">
      <c r="B28" s="1" t="s">
        <v>233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62"/>
  <sheetViews>
    <sheetView topLeftCell="A45" zoomScaleNormal="100" workbookViewId="0">
      <selection activeCell="C4" sqref="C4"/>
    </sheetView>
  </sheetViews>
  <sheetFormatPr defaultColWidth="8.6640625" defaultRowHeight="14.4" x14ac:dyDescent="0.3"/>
  <cols>
    <col min="1" max="1" width="2" customWidth="1"/>
    <col min="2" max="2" width="34" customWidth="1"/>
    <col min="3" max="6" width="12" customWidth="1"/>
    <col min="7" max="7" width="3" customWidth="1"/>
    <col min="8" max="11" width="12" customWidth="1"/>
    <col min="12" max="12" width="3" customWidth="1"/>
    <col min="13" max="13" width="12" customWidth="1"/>
    <col min="14" max="14" width="14" style="82" customWidth="1"/>
  </cols>
  <sheetData>
    <row r="2" spans="2:14" ht="19.5" customHeight="1" x14ac:dyDescent="0.3">
      <c r="B2" s="9" t="s">
        <v>234</v>
      </c>
    </row>
    <row r="3" spans="2:14" ht="15" customHeight="1" x14ac:dyDescent="0.3">
      <c r="B3" s="10" t="s">
        <v>235</v>
      </c>
    </row>
    <row r="5" spans="2:14" ht="15" customHeight="1" x14ac:dyDescent="0.3">
      <c r="B5" s="11" t="s">
        <v>236</v>
      </c>
      <c r="C5" s="97" t="s">
        <v>237</v>
      </c>
      <c r="D5" s="97"/>
      <c r="E5" s="97"/>
      <c r="F5" s="97"/>
      <c r="H5" s="97" t="s">
        <v>238</v>
      </c>
      <c r="I5" s="97"/>
      <c r="J5" s="97"/>
      <c r="K5" s="97"/>
      <c r="M5" s="97" t="s">
        <v>239</v>
      </c>
      <c r="N5" s="97"/>
    </row>
    <row r="6" spans="2:14" ht="15" customHeight="1" x14ac:dyDescent="0.3">
      <c r="B6" s="33"/>
      <c r="C6" s="11" t="s">
        <v>200</v>
      </c>
      <c r="D6" s="11" t="s">
        <v>201</v>
      </c>
      <c r="E6" s="11" t="s">
        <v>202</v>
      </c>
      <c r="F6" s="11" t="s">
        <v>203</v>
      </c>
      <c r="H6" s="11" t="s">
        <v>200</v>
      </c>
      <c r="I6" s="11" t="s">
        <v>201</v>
      </c>
      <c r="J6" s="11" t="s">
        <v>202</v>
      </c>
      <c r="K6" s="11" t="s">
        <v>203</v>
      </c>
      <c r="M6" s="11" t="s">
        <v>240</v>
      </c>
      <c r="N6" s="83" t="s">
        <v>241</v>
      </c>
    </row>
    <row r="7" spans="2:14" ht="15" customHeight="1" x14ac:dyDescent="0.3">
      <c r="B7" s="4" t="s">
        <v>242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84"/>
    </row>
    <row r="8" spans="2:14" ht="57" x14ac:dyDescent="0.3">
      <c r="B8" s="16" t="s">
        <v>243</v>
      </c>
      <c r="C8" s="34">
        <f>Acquirer_Financials!C9/Acquirer_Financials!C7</f>
        <v>0.32976294995610184</v>
      </c>
      <c r="D8" s="34">
        <f>Acquirer_Financials!D9/Acquirer_Financials!D7</f>
        <v>0.35988797261552824</v>
      </c>
      <c r="E8" s="34">
        <f>Acquirer_Financials!E9/Acquirer_Financials!E7</f>
        <v>0.39995553579368609</v>
      </c>
      <c r="F8" s="34">
        <f>Acquirer_Financials!F9/Acquirer_Financials!F7</f>
        <v>0.4</v>
      </c>
      <c r="H8" s="34">
        <f>Target_Financials!C9/Target_Financials!C7</f>
        <v>0.30458715596330277</v>
      </c>
      <c r="I8" s="34">
        <f>Target_Financials!D9/Target_Financials!D7</f>
        <v>0.32862190812720848</v>
      </c>
      <c r="J8" s="34">
        <f>Target_Financials!E9/Target_Financials!E7</f>
        <v>0.35182119205298013</v>
      </c>
      <c r="K8" s="34">
        <f>Target_Financials!F9/Target_Financials!F7</f>
        <v>0.34</v>
      </c>
      <c r="M8" s="22">
        <v>0.32</v>
      </c>
      <c r="N8" s="35" t="s">
        <v>244</v>
      </c>
    </row>
    <row r="9" spans="2:14" ht="45.6" x14ac:dyDescent="0.3">
      <c r="B9" s="16" t="s">
        <v>245</v>
      </c>
      <c r="C9" s="34">
        <f>Acquirer_Financials!C12/Acquirer_Financials!C7</f>
        <v>0.28586479367866552</v>
      </c>
      <c r="D9" s="34">
        <f>Acquirer_Financials!D12/Acquirer_Financials!D7</f>
        <v>0.3163217675431772</v>
      </c>
      <c r="E9" s="34">
        <f>Acquirer_Financials!E12/Acquirer_Financials!E7</f>
        <v>0.36438417074255225</v>
      </c>
      <c r="F9" s="34">
        <f>Acquirer_Financials!F12/Acquirer_Financials!F7</f>
        <v>0.36759259259259258</v>
      </c>
      <c r="H9" s="34">
        <f>Target_Financials!C12/Target_Financials!C7</f>
        <v>8.4403669724770647E-2</v>
      </c>
      <c r="I9" s="34">
        <f>Target_Financials!D12/Target_Financials!D7</f>
        <v>9.8939929328621903E-2</v>
      </c>
      <c r="J9" s="34">
        <f>Target_Financials!E12/Target_Financials!E7</f>
        <v>0.11175496688741722</v>
      </c>
      <c r="K9" s="34">
        <f>Target_Financials!F12/Target_Financials!F7</f>
        <v>0.11</v>
      </c>
      <c r="M9" s="22">
        <v>0.24</v>
      </c>
      <c r="N9" s="35" t="s">
        <v>246</v>
      </c>
    </row>
    <row r="10" spans="2:14" ht="57" x14ac:dyDescent="0.3">
      <c r="B10" s="16" t="s">
        <v>247</v>
      </c>
      <c r="C10" s="34">
        <f>Acquirer_Financials!C17/Acquirer_Financials!C7</f>
        <v>0.24928955223880597</v>
      </c>
      <c r="D10" s="34">
        <f>Acquirer_Financials!D17/Acquirer_Financials!D7</f>
        <v>0.27967076396452467</v>
      </c>
      <c r="E10" s="34">
        <f>Acquirer_Financials!E17/Acquirer_Financials!E7</f>
        <v>0.3108074699866607</v>
      </c>
      <c r="F10" s="34">
        <f>Acquirer_Financials!F17/Acquirer_Financials!F7</f>
        <v>0.31132037037037041</v>
      </c>
      <c r="H10" s="34">
        <f>Target_Financials!C17/Target_Financials!C7</f>
        <v>0</v>
      </c>
      <c r="I10" s="34">
        <f>Target_Financials!D17/Target_Financials!D7</f>
        <v>2.3787985865724379E-2</v>
      </c>
      <c r="J10" s="34">
        <f>Target_Financials!E17/Target_Financials!E7</f>
        <v>4.0248344370860931E-2</v>
      </c>
      <c r="K10" s="34">
        <f>Target_Financials!F17/Target_Financials!F7</f>
        <v>3.9893333333333336E-2</v>
      </c>
      <c r="M10" s="22">
        <v>0.18</v>
      </c>
      <c r="N10" s="35" t="s">
        <v>248</v>
      </c>
    </row>
    <row r="11" spans="2:14" ht="68.400000000000006" x14ac:dyDescent="0.3">
      <c r="B11" s="16" t="s">
        <v>249</v>
      </c>
      <c r="C11" s="34">
        <f>Acquirer_Financials!C17/Acquirer_Financials!C25</f>
        <v>3.8896E-2</v>
      </c>
      <c r="D11" s="34">
        <f>Acquirer_Financials!D17/Acquirer_Financials!D25</f>
        <v>4.7053507853403141E-2</v>
      </c>
      <c r="E11" s="34">
        <f>Acquirer_Financials!E17/Acquirer_Financials!E25</f>
        <v>6.9037629629629629E-2</v>
      </c>
      <c r="F11" s="34">
        <f>Acquirer_Financials!F17/Acquirer_Financials!F25</f>
        <v>7.8557476635514017E-2</v>
      </c>
      <c r="H11" s="34">
        <f>Target_Financials!C17/Target_Financials!C25</f>
        <v>0</v>
      </c>
      <c r="I11" s="34">
        <f>Target_Financials!D17/Target_Financials!D25</f>
        <v>4.3904347826086952E-2</v>
      </c>
      <c r="J11" s="34">
        <f>Target_Financials!E17/Target_Financials!E25</f>
        <v>9.003703703703704E-2</v>
      </c>
      <c r="K11" s="34">
        <f>Target_Financials!F17/Target_Financials!F25</f>
        <v>9.6516129032258063E-2</v>
      </c>
      <c r="M11" s="22">
        <v>0.12</v>
      </c>
      <c r="N11" s="35" t="s">
        <v>250</v>
      </c>
    </row>
    <row r="12" spans="2:14" ht="42.75" customHeight="1" x14ac:dyDescent="0.3">
      <c r="B12" s="16" t="s">
        <v>251</v>
      </c>
      <c r="C12" s="34">
        <f>Acquirer_Financials!C12/(Acquirer_Financials!C25+Acquirer_Financials!C22)</f>
        <v>3.8761904761904761E-2</v>
      </c>
      <c r="D12" s="34">
        <f>Acquirer_Financials!D12/(Acquirer_Financials!D25+Acquirer_Financials!D22)</f>
        <v>4.6735632183908048E-2</v>
      </c>
      <c r="E12" s="34">
        <f>Acquirer_Financials!E12/(Acquirer_Financials!E25+Acquirer_Financials!E22)</f>
        <v>7.1885964912280706E-2</v>
      </c>
      <c r="F12" s="34">
        <f>Acquirer_Financials!F12/(Acquirer_Financials!F25+Acquirer_Financials!F22)</f>
        <v>8.3054393305439331E-2</v>
      </c>
      <c r="H12" s="34">
        <f>Target_Financials!C12/(Target_Financials!C25+Target_Financials!C22)</f>
        <v>4.791666666666667E-2</v>
      </c>
      <c r="I12" s="34">
        <f>Target_Financials!D12/(Target_Financials!D25+Target_Financials!D22)</f>
        <v>5.9574468085106386E-2</v>
      </c>
      <c r="J12" s="34">
        <f>Target_Financials!E12/(Target_Financials!E25+Target_Financials!E22)</f>
        <v>7.5418994413407825E-2</v>
      </c>
      <c r="K12" s="34">
        <f>Target_Financials!F12/(Target_Financials!F25+Target_Financials!F22)</f>
        <v>7.9326923076923073E-2</v>
      </c>
      <c r="M12" s="22">
        <v>0.11</v>
      </c>
      <c r="N12" s="35" t="s">
        <v>252</v>
      </c>
    </row>
    <row r="14" spans="2:14" ht="15" customHeight="1" x14ac:dyDescent="0.3">
      <c r="B14" s="4" t="s">
        <v>253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84"/>
    </row>
    <row r="15" spans="2:14" ht="42.75" customHeight="1" x14ac:dyDescent="0.3">
      <c r="B15" s="16" t="s">
        <v>254</v>
      </c>
      <c r="C15" s="26">
        <f>Acquirer_Financials!C23/Acquirer_Financials!C22</f>
        <v>0.21818181818181817</v>
      </c>
      <c r="D15" s="26">
        <f>Acquirer_Financials!D23/Acquirer_Financials!D22</f>
        <v>0.26415094339622641</v>
      </c>
      <c r="E15" s="26">
        <f>Acquirer_Financials!E23/Acquirer_Financials!E22</f>
        <v>0.26470588235294118</v>
      </c>
      <c r="F15" s="26">
        <f>Acquirer_Financials!F23/Acquirer_Financials!F22</f>
        <v>0.3</v>
      </c>
      <c r="H15" s="26">
        <f>Target_Financials!C23/Target_Financials!C22</f>
        <v>0.24193548387096775</v>
      </c>
      <c r="I15" s="26">
        <f>Target_Financials!D23/Target_Financials!D22</f>
        <v>0.18947368421052632</v>
      </c>
      <c r="J15" s="26">
        <f>Target_Financials!E23/Target_Financials!E22</f>
        <v>0.20799999999999999</v>
      </c>
      <c r="K15" s="26">
        <f>Target_Financials!F23/Target_Financials!F22</f>
        <v>0.20547945205479451</v>
      </c>
      <c r="M15" s="36">
        <v>0.25</v>
      </c>
      <c r="N15" s="35" t="s">
        <v>255</v>
      </c>
    </row>
    <row r="16" spans="2:14" ht="53.25" customHeight="1" x14ac:dyDescent="0.3">
      <c r="B16" s="16" t="s">
        <v>256</v>
      </c>
      <c r="C16" s="26">
        <f>Acquirer_Financials!C12/Acquirer_Financials!C13</f>
        <v>5.8142857142857141</v>
      </c>
      <c r="D16" s="26">
        <f>Acquirer_Financials!D12/Acquirer_Financials!D13</f>
        <v>8.1319999999999997</v>
      </c>
      <c r="E16" s="26">
        <f>Acquirer_Financials!E12/Acquirer_Financials!E13</f>
        <v>14.9</v>
      </c>
      <c r="F16" s="26">
        <f>Acquirer_Financials!F12/Acquirer_Financials!F13</f>
        <v>20.358974358974358</v>
      </c>
      <c r="H16" s="26">
        <f>Target_Financials!C12/Target_Financials!C13</f>
        <v>0.7931034482758621</v>
      </c>
      <c r="I16" s="26">
        <f>Target_Financials!D12/Target_Financials!D13</f>
        <v>1.1200000000000001</v>
      </c>
      <c r="J16" s="26">
        <f>Target_Financials!E12/Target_Financials!E13</f>
        <v>1.4210526315789473</v>
      </c>
      <c r="K16" s="26">
        <f>Target_Financials!F12/Target_Financials!F13</f>
        <v>1.4347826086956521</v>
      </c>
      <c r="M16" s="36">
        <v>4.5</v>
      </c>
      <c r="N16" s="35" t="s">
        <v>257</v>
      </c>
    </row>
    <row r="17" spans="2:14" ht="34.200000000000003" x14ac:dyDescent="0.3">
      <c r="B17" s="16" t="s">
        <v>258</v>
      </c>
      <c r="C17" s="26">
        <f>Acquirer_Financials!C9/Acquirer_Financials!C13</f>
        <v>6.7071428571428573</v>
      </c>
      <c r="D17" s="26">
        <f>Acquirer_Financials!D9/Acquirer_Financials!D13</f>
        <v>9.2520000000000007</v>
      </c>
      <c r="E17" s="26">
        <f>Acquirer_Financials!E9/Acquirer_Financials!E13</f>
        <v>16.354545454545455</v>
      </c>
      <c r="F17" s="26">
        <f>Acquirer_Financials!F9/Acquirer_Financials!F13</f>
        <v>22.153846153846153</v>
      </c>
      <c r="H17" s="26">
        <f>Target_Financials!C9/Target_Financials!C13</f>
        <v>2.8620689655172415</v>
      </c>
      <c r="I17" s="26">
        <f>Target_Financials!D9/Target_Financials!D13</f>
        <v>3.72</v>
      </c>
      <c r="J17" s="26">
        <f>Target_Financials!E9/Target_Financials!E13</f>
        <v>4.4736842105263159</v>
      </c>
      <c r="K17" s="26">
        <f>Target_Financials!F9/Target_Financials!F13</f>
        <v>4.4347826086956523</v>
      </c>
      <c r="M17" s="36">
        <v>6</v>
      </c>
      <c r="N17" s="35" t="s">
        <v>259</v>
      </c>
    </row>
    <row r="19" spans="2:14" ht="15" customHeight="1" x14ac:dyDescent="0.3">
      <c r="B19" s="4" t="s">
        <v>260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84"/>
    </row>
    <row r="20" spans="2:14" ht="57" x14ac:dyDescent="0.3">
      <c r="B20" s="16" t="s">
        <v>261</v>
      </c>
      <c r="C20" s="26">
        <f>Acquirer_Financials!C22/Acquirer_Financials!C25</f>
        <v>0.15068493150684931</v>
      </c>
      <c r="D20" s="26">
        <f>Acquirer_Financials!D22/Acquirer_Financials!D25</f>
        <v>0.13874345549738221</v>
      </c>
      <c r="E20" s="26">
        <f>Acquirer_Financials!E22/Acquirer_Financials!E25</f>
        <v>0.12592592592592591</v>
      </c>
      <c r="F20" s="26">
        <f>Acquirer_Financials!F22/Acquirer_Financials!F25</f>
        <v>0.11682242990654206</v>
      </c>
      <c r="H20" s="26">
        <f>Target_Financials!C22/Target_Financials!C25</f>
        <v>1.8235294117647058</v>
      </c>
      <c r="I20" s="26">
        <f>Target_Financials!D22/Target_Financials!D25</f>
        <v>2.0652173913043477</v>
      </c>
      <c r="J20" s="26">
        <f>Target_Financials!E22/Target_Financials!E25</f>
        <v>2.3148148148148149</v>
      </c>
      <c r="K20" s="26">
        <f>Target_Financials!F22/Target_Financials!F25</f>
        <v>2.3548387096774195</v>
      </c>
      <c r="M20" s="36">
        <v>0.6</v>
      </c>
      <c r="N20" s="35" t="s">
        <v>262</v>
      </c>
    </row>
    <row r="21" spans="2:14" ht="34.200000000000003" x14ac:dyDescent="0.3">
      <c r="B21" s="16" t="s">
        <v>263</v>
      </c>
      <c r="C21" s="26">
        <f>Acquirer_Financials!C24/Acquirer_Financials!C25</f>
        <v>0.11780821917808219</v>
      </c>
      <c r="D21" s="26">
        <f>Acquirer_Financials!D24/Acquirer_Financials!D25</f>
        <v>0.10209424083769633</v>
      </c>
      <c r="E21" s="26">
        <f>Acquirer_Financials!E24/Acquirer_Financials!E25</f>
        <v>9.2592592592592587E-2</v>
      </c>
      <c r="F21" s="26">
        <f>Acquirer_Financials!F24/Acquirer_Financials!F25</f>
        <v>8.1775700934579434E-2</v>
      </c>
      <c r="H21" s="26">
        <f>Target_Financials!C24/Target_Financials!C25</f>
        <v>1.3823529411764706</v>
      </c>
      <c r="I21" s="26">
        <f>Target_Financials!D24/Target_Financials!D25</f>
        <v>1.673913043478261</v>
      </c>
      <c r="J21" s="26">
        <f>Target_Financials!E24/Target_Financials!E25</f>
        <v>1.8333333333333333</v>
      </c>
      <c r="K21" s="26">
        <f>Target_Financials!F24/Target_Financials!F25</f>
        <v>1.8709677419354838</v>
      </c>
      <c r="M21" s="36">
        <v>0.45</v>
      </c>
      <c r="N21" s="35" t="s">
        <v>264</v>
      </c>
    </row>
    <row r="22" spans="2:14" ht="68.400000000000006" x14ac:dyDescent="0.3">
      <c r="B22" s="16" t="s">
        <v>265</v>
      </c>
      <c r="C22" s="26">
        <f>Acquirer_Financials!C24/Acquirer_Financials!C9</f>
        <v>2.2896698615548456</v>
      </c>
      <c r="D22" s="26">
        <f>Acquirer_Financials!D24/Acquirer_Financials!D9</f>
        <v>1.6861219195849546</v>
      </c>
      <c r="E22" s="26">
        <f>Acquirer_Financials!E24/Acquirer_Financials!E9</f>
        <v>1.0422456920511396</v>
      </c>
      <c r="F22" s="26">
        <f>Acquirer_Financials!F24/Acquirer_Financials!F9</f>
        <v>0.81018518518518523</v>
      </c>
      <c r="H22" s="26">
        <f>Target_Financials!C24/Target_Financials!C9</f>
        <v>2.8313253012048194</v>
      </c>
      <c r="I22" s="26">
        <f>Target_Financials!D24/Target_Financials!D9</f>
        <v>2.7598566308243728</v>
      </c>
      <c r="J22" s="26">
        <f>Target_Financials!E24/Target_Financials!E9</f>
        <v>2.3294117647058825</v>
      </c>
      <c r="K22" s="26">
        <f>Target_Financials!F24/Target_Financials!F9</f>
        <v>2.2745098039215685</v>
      </c>
      <c r="M22" s="36">
        <v>2.2000000000000002</v>
      </c>
      <c r="N22" s="35" t="s">
        <v>266</v>
      </c>
    </row>
    <row r="23" spans="2:14" ht="32.25" customHeight="1" x14ac:dyDescent="0.3">
      <c r="B23" s="16" t="s">
        <v>267</v>
      </c>
      <c r="C23" s="34">
        <f>Acquirer_Financials!C22/(Acquirer_Financials!C22+Acquirer_Financials!C25)</f>
        <v>0.13095238095238096</v>
      </c>
      <c r="D23" s="34">
        <f>Acquirer_Financials!D22/(Acquirer_Financials!D22+Acquirer_Financials!D25)</f>
        <v>0.12183908045977011</v>
      </c>
      <c r="E23" s="34">
        <f>Acquirer_Financials!E22/(Acquirer_Financials!E22+Acquirer_Financials!E25)</f>
        <v>0.1118421052631579</v>
      </c>
      <c r="F23" s="34">
        <f>Acquirer_Financials!F22/(Acquirer_Financials!F22+Acquirer_Financials!F25)</f>
        <v>0.10460251046025104</v>
      </c>
      <c r="H23" s="34">
        <f>Target_Financials!C22/(Target_Financials!C22+Target_Financials!C25)</f>
        <v>0.64583333333333337</v>
      </c>
      <c r="I23" s="34">
        <f>Target_Financials!D22/(Target_Financials!D22+Target_Financials!D25)</f>
        <v>0.67375886524822692</v>
      </c>
      <c r="J23" s="34">
        <f>Target_Financials!E22/(Target_Financials!E22+Target_Financials!E25)</f>
        <v>0.6983240223463687</v>
      </c>
      <c r="K23" s="34">
        <f>Target_Financials!F22/(Target_Financials!F22+Target_Financials!F25)</f>
        <v>0.70192307692307687</v>
      </c>
      <c r="M23" s="22">
        <v>0.38</v>
      </c>
      <c r="N23" s="35" t="s">
        <v>268</v>
      </c>
    </row>
    <row r="25" spans="2:14" ht="15" customHeight="1" x14ac:dyDescent="0.3">
      <c r="B25" s="4" t="s">
        <v>269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84"/>
    </row>
    <row r="26" spans="2:14" ht="42.75" customHeight="1" x14ac:dyDescent="0.3">
      <c r="B26" s="16" t="s">
        <v>270</v>
      </c>
      <c r="C26" s="26">
        <f>Acquirer_Financials!C7/(Acquirer_Financials!C22+Acquirer_Financials!C25)</f>
        <v>0.1355952380952381</v>
      </c>
      <c r="D26" s="26">
        <f>Acquirer_Financials!D7/(Acquirer_Financials!D22+Acquirer_Financials!D25)</f>
        <v>0.14774712643678162</v>
      </c>
      <c r="E26" s="26">
        <f>Acquirer_Financials!E7/(Acquirer_Financials!E22+Acquirer_Financials!E25)</f>
        <v>0.19728070175438597</v>
      </c>
      <c r="F26" s="26">
        <f>Acquirer_Financials!F7/(Acquirer_Financials!F22+Acquirer_Financials!F25)</f>
        <v>0.22594142259414227</v>
      </c>
      <c r="H26" s="26">
        <f>Target_Financials!C7/(Target_Financials!C22+Target_Financials!C25)</f>
        <v>0.56770833333333337</v>
      </c>
      <c r="I26" s="26">
        <f>Target_Financials!D7/(Target_Financials!D22+Target_Financials!D25)</f>
        <v>0.60212765957446812</v>
      </c>
      <c r="J26" s="26">
        <f>Target_Financials!E7/(Target_Financials!E22+Target_Financials!E25)</f>
        <v>0.67486033519553068</v>
      </c>
      <c r="K26" s="26">
        <f>Target_Financials!F7/(Target_Financials!F22+Target_Financials!F25)</f>
        <v>0.72115384615384615</v>
      </c>
      <c r="M26" s="36">
        <v>0.35</v>
      </c>
      <c r="N26" s="35" t="s">
        <v>271</v>
      </c>
    </row>
    <row r="27" spans="2:14" ht="45.6" x14ac:dyDescent="0.3">
      <c r="B27" s="16" t="s">
        <v>272</v>
      </c>
      <c r="C27" s="26">
        <f>Acquirer_Financials!C7/Acquirer_Financials!C25</f>
        <v>0.15602739726027398</v>
      </c>
      <c r="D27" s="26">
        <f>Acquirer_Financials!D7/Acquirer_Financials!D25</f>
        <v>0.16824607329842933</v>
      </c>
      <c r="E27" s="26">
        <f>Acquirer_Financials!E7/Acquirer_Financials!E25</f>
        <v>0.22212345679012346</v>
      </c>
      <c r="F27" s="26">
        <f>Acquirer_Financials!F7/Acquirer_Financials!F25</f>
        <v>0.25233644859813081</v>
      </c>
      <c r="H27" s="26">
        <f>Target_Financials!C7/Target_Financials!C25</f>
        <v>1.6029411764705883</v>
      </c>
      <c r="I27" s="26">
        <f>Target_Financials!D7/Target_Financials!D25</f>
        <v>1.8456521739130434</v>
      </c>
      <c r="J27" s="26">
        <f>Target_Financials!E7/Target_Financials!E25</f>
        <v>2.2370370370370369</v>
      </c>
      <c r="K27" s="26">
        <f>Target_Financials!F7/Target_Financials!F25</f>
        <v>2.4193548387096775</v>
      </c>
      <c r="M27" s="36">
        <v>0.5</v>
      </c>
      <c r="N27" s="35" t="s">
        <v>273</v>
      </c>
    </row>
    <row r="29" spans="2:14" ht="15" customHeight="1" x14ac:dyDescent="0.3">
      <c r="B29" s="4" t="s">
        <v>274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84"/>
    </row>
    <row r="30" spans="2:14" ht="34.200000000000003" x14ac:dyDescent="0.3">
      <c r="B30" s="16" t="s">
        <v>275</v>
      </c>
      <c r="C30" s="26">
        <f>Assumptions!$C$7/Acquirer_Financials!C19</f>
        <v>99.064223950908072</v>
      </c>
      <c r="D30" s="26">
        <f>Assumptions!$C$7/Acquirer_Financials!D19</f>
        <v>78.245483586693112</v>
      </c>
      <c r="E30" s="26">
        <f>Assumptions!$C$7/Acquirer_Financials!E19</f>
        <v>50.300668020017</v>
      </c>
      <c r="F30" s="26">
        <f>Assumptions!$C$7/Acquirer_Financials!F19</f>
        <v>41.829565530327812</v>
      </c>
      <c r="H30" s="26" t="str">
        <f>IFERROR(Assumptions!$C$17/Target_Financials!C19,"N/M")</f>
        <v>N/M</v>
      </c>
      <c r="I30" s="26">
        <f>IFERROR(Assumptions!$C$17/Target_Financials!D19,"N/M")</f>
        <v>118.02139037433156</v>
      </c>
      <c r="J30" s="26">
        <f>IFERROR(Assumptions!$C$17/Target_Financials!E19,"N/M")</f>
        <v>49.02426984779926</v>
      </c>
      <c r="K30" s="26">
        <f>IFERROR(Assumptions!$C$17/Target_Financials!F19,"N/M")</f>
        <v>39.832219251336895</v>
      </c>
      <c r="M30" s="36">
        <v>28</v>
      </c>
      <c r="N30" s="35" t="s">
        <v>276</v>
      </c>
    </row>
    <row r="31" spans="2:14" ht="34.200000000000003" x14ac:dyDescent="0.3">
      <c r="B31" s="16" t="s">
        <v>277</v>
      </c>
      <c r="C31" s="26">
        <f>Assumptions!$C$9/Acquirer_Financials!C25</f>
        <v>3.8532020547945205</v>
      </c>
      <c r="D31" s="26">
        <f>Assumptions!$C$9/Acquirer_Financials!D25</f>
        <v>3.6817244764397907</v>
      </c>
      <c r="E31" s="26">
        <f>Assumptions!$C$9/Acquirer_Financials!E25</f>
        <v>3.4726388888888891</v>
      </c>
      <c r="F31" s="26">
        <f>Assumptions!$C$9/Acquirer_Financials!F25</f>
        <v>3.2860251168224299</v>
      </c>
      <c r="H31" s="26">
        <f>Assumptions!$C$19/Target_Financials!C25</f>
        <v>7.010470588235294</v>
      </c>
      <c r="I31" s="26">
        <f>Assumptions!$C$19/Target_Financials!D25</f>
        <v>5.1816521739130437</v>
      </c>
      <c r="J31" s="26">
        <f>Assumptions!$C$19/Target_Financials!E25</f>
        <v>4.4139999999999997</v>
      </c>
      <c r="K31" s="26">
        <f>Assumptions!$C$19/Target_Financials!F25</f>
        <v>3.8444516129032258</v>
      </c>
      <c r="M31" s="36">
        <v>2.5</v>
      </c>
      <c r="N31" s="35" t="s">
        <v>278</v>
      </c>
    </row>
    <row r="32" spans="2:14" ht="45.6" x14ac:dyDescent="0.3">
      <c r="B32" s="16" t="s">
        <v>279</v>
      </c>
      <c r="C32" s="26">
        <f>Assumptions!$C$11/Acquirer_Financials!C9</f>
        <v>76.752862087326946</v>
      </c>
      <c r="D32" s="26">
        <f>Assumptions!$C$11/Acquirer_Financials!D9</f>
        <v>62.318147427583227</v>
      </c>
      <c r="E32" s="26">
        <f>Assumptions!$C$11/Acquirer_Financials!E9</f>
        <v>40.061666203446357</v>
      </c>
      <c r="F32" s="26">
        <f>Assumptions!$C$11/Acquirer_Financials!F9</f>
        <v>33.366174768518519</v>
      </c>
      <c r="H32" s="26">
        <f>Assumptions!$C$21/Target_Financials!C9</f>
        <v>21.346746987951807</v>
      </c>
      <c r="I32" s="26">
        <f>Assumptions!$C$21/Target_Financials!D9</f>
        <v>12.700931899641576</v>
      </c>
      <c r="J32" s="26">
        <f>Assumptions!$C$21/Target_Financials!E9</f>
        <v>8.3377882352941182</v>
      </c>
      <c r="K32" s="26">
        <f>Assumptions!$C$21/Target_Financials!F9</f>
        <v>6.9481568627450976</v>
      </c>
      <c r="M32" s="36">
        <v>17</v>
      </c>
      <c r="N32" s="35" t="s">
        <v>280</v>
      </c>
    </row>
    <row r="33" spans="2:14" ht="34.200000000000003" x14ac:dyDescent="0.3">
      <c r="B33" s="16" t="s">
        <v>281</v>
      </c>
      <c r="C33" s="26">
        <f>Assumptions!$C$11/Acquirer_Financials!C7</f>
        <v>25.310250219490783</v>
      </c>
      <c r="D33" s="26">
        <f>Assumptions!$C$11/Acquirer_Financials!D7</f>
        <v>22.427551734868523</v>
      </c>
      <c r="E33" s="26">
        <f>Assumptions!$C$11/Acquirer_Financials!E7</f>
        <v>16.022885171187195</v>
      </c>
      <c r="F33" s="26">
        <f>Assumptions!$C$11/Acquirer_Financials!F7</f>
        <v>13.346469907407407</v>
      </c>
      <c r="H33" s="26">
        <f>Assumptions!$C$21/Target_Financials!C7</f>
        <v>6.5019449541284402</v>
      </c>
      <c r="I33" s="26">
        <f>Assumptions!$C$21/Target_Financials!D7</f>
        <v>4.1738044758539461</v>
      </c>
      <c r="J33" s="26">
        <f>Assumptions!$C$21/Target_Financials!E7</f>
        <v>2.9334105960264902</v>
      </c>
      <c r="K33" s="26">
        <f>Assumptions!$C$21/Target_Financials!F7</f>
        <v>2.3623733333333332</v>
      </c>
      <c r="M33" s="36">
        <v>5.5</v>
      </c>
      <c r="N33" s="35" t="s">
        <v>282</v>
      </c>
    </row>
    <row r="34" spans="2:14" ht="34.200000000000003" x14ac:dyDescent="0.3">
      <c r="B34" s="16" t="s">
        <v>283</v>
      </c>
      <c r="C34" s="37">
        <v>6.0000000000000001E-3</v>
      </c>
      <c r="D34" s="37">
        <v>7.0000000000000001E-3</v>
      </c>
      <c r="E34" s="37">
        <v>8.8000000000000005E-3</v>
      </c>
      <c r="F34" s="37">
        <v>1.17E-2</v>
      </c>
      <c r="H34" s="38" t="s">
        <v>284</v>
      </c>
      <c r="I34" s="38" t="s">
        <v>284</v>
      </c>
      <c r="J34" s="38" t="s">
        <v>284</v>
      </c>
      <c r="K34" s="38" t="s">
        <v>284</v>
      </c>
      <c r="M34" s="37">
        <v>8.9999999999999993E-3</v>
      </c>
      <c r="N34" s="35" t="s">
        <v>285</v>
      </c>
    </row>
    <row r="37" spans="2:14" ht="15" customHeight="1" x14ac:dyDescent="0.3">
      <c r="B37" s="4" t="s">
        <v>286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84"/>
    </row>
    <row r="38" spans="2:14" ht="15" customHeight="1" x14ac:dyDescent="0.3">
      <c r="B38" s="85" t="s">
        <v>287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</row>
    <row r="39" spans="2:14" ht="15" customHeight="1" x14ac:dyDescent="0.3">
      <c r="B39" s="86" t="s">
        <v>288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</row>
    <row r="40" spans="2:14" ht="15" customHeight="1" x14ac:dyDescent="0.3">
      <c r="B40" s="86" t="s">
        <v>289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</row>
    <row r="41" spans="2:14" ht="15" customHeight="1" x14ac:dyDescent="0.3">
      <c r="B41" s="86" t="s">
        <v>290</v>
      </c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</row>
    <row r="42" spans="2:14" ht="15" customHeight="1" x14ac:dyDescent="0.3">
      <c r="B42" s="86" t="s">
        <v>291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</row>
    <row r="43" spans="2:14" ht="15" customHeight="1" x14ac:dyDescent="0.3">
      <c r="B43" s="86" t="s">
        <v>292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</row>
    <row r="44" spans="2:14" ht="15" customHeight="1" x14ac:dyDescent="0.3"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</row>
    <row r="45" spans="2:14" ht="15" customHeight="1" x14ac:dyDescent="0.3">
      <c r="B45" s="85" t="s">
        <v>293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</row>
    <row r="46" spans="2:14" ht="15" customHeight="1" x14ac:dyDescent="0.3">
      <c r="B46" s="86" t="s">
        <v>294</v>
      </c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</row>
    <row r="47" spans="2:14" ht="15" customHeight="1" x14ac:dyDescent="0.3">
      <c r="B47" s="86" t="s">
        <v>295</v>
      </c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</row>
    <row r="48" spans="2:14" ht="15" customHeight="1" x14ac:dyDescent="0.3">
      <c r="B48" s="86" t="s">
        <v>296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</row>
    <row r="49" spans="2:14" ht="15" customHeight="1" x14ac:dyDescent="0.3">
      <c r="B49" s="86" t="s">
        <v>297</v>
      </c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</row>
    <row r="50" spans="2:14" ht="15" customHeight="1" x14ac:dyDescent="0.3">
      <c r="B50" s="86" t="s">
        <v>298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</row>
    <row r="51" spans="2:14" ht="15" customHeight="1" x14ac:dyDescent="0.3"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</row>
    <row r="52" spans="2:14" ht="15" customHeight="1" x14ac:dyDescent="0.3">
      <c r="B52" s="85" t="s">
        <v>299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</row>
    <row r="53" spans="2:14" ht="15" customHeight="1" x14ac:dyDescent="0.3">
      <c r="B53" s="86" t="s">
        <v>300</v>
      </c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</row>
    <row r="54" spans="2:14" ht="15" customHeight="1" x14ac:dyDescent="0.3">
      <c r="B54" s="86" t="s">
        <v>301</v>
      </c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</row>
    <row r="55" spans="2:14" ht="15" customHeight="1" x14ac:dyDescent="0.3">
      <c r="B55" s="86" t="s">
        <v>302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</row>
    <row r="56" spans="2:14" ht="15" customHeight="1" x14ac:dyDescent="0.3">
      <c r="B56" s="86" t="s">
        <v>303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</row>
    <row r="62" spans="2:14" ht="15" customHeight="1" x14ac:dyDescent="0.3">
      <c r="B62" s="87" t="s">
        <v>304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</row>
  </sheetData>
  <mergeCells count="23">
    <mergeCell ref="C5:F5"/>
    <mergeCell ref="H5:K5"/>
    <mergeCell ref="M5:N5"/>
    <mergeCell ref="B38:N38"/>
    <mergeCell ref="B39:N39"/>
    <mergeCell ref="B40:N40"/>
    <mergeCell ref="B41:N41"/>
    <mergeCell ref="B42:N42"/>
    <mergeCell ref="B43:N43"/>
    <mergeCell ref="B44:N44"/>
    <mergeCell ref="B45:N45"/>
    <mergeCell ref="B46:N46"/>
    <mergeCell ref="B47:N47"/>
    <mergeCell ref="B48:N48"/>
    <mergeCell ref="B49:N49"/>
    <mergeCell ref="B55:N55"/>
    <mergeCell ref="B56:N56"/>
    <mergeCell ref="B62:N62"/>
    <mergeCell ref="B50:N50"/>
    <mergeCell ref="B51:N51"/>
    <mergeCell ref="B52:N52"/>
    <mergeCell ref="B53:N53"/>
    <mergeCell ref="B54:N5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192"/>
  <sheetViews>
    <sheetView zoomScaleNormal="100" workbookViewId="0">
      <selection activeCell="L8" sqref="L8"/>
    </sheetView>
  </sheetViews>
  <sheetFormatPr defaultColWidth="8.6640625" defaultRowHeight="14.4" x14ac:dyDescent="0.3"/>
  <cols>
    <col min="1" max="1" width="2" customWidth="1"/>
    <col min="2" max="2" width="15" customWidth="1"/>
    <col min="3" max="6" width="13" customWidth="1"/>
    <col min="7" max="7" width="14" customWidth="1"/>
    <col min="8" max="12" width="13" customWidth="1"/>
    <col min="13" max="13" width="14" customWidth="1"/>
  </cols>
  <sheetData>
    <row r="2" spans="2:13" ht="21" x14ac:dyDescent="0.3">
      <c r="B2" s="9" t="s">
        <v>305</v>
      </c>
    </row>
    <row r="3" spans="2:13" ht="15.6" x14ac:dyDescent="0.3">
      <c r="B3" s="10" t="s">
        <v>306</v>
      </c>
    </row>
    <row r="5" spans="2:13" x14ac:dyDescent="0.3">
      <c r="B5" s="89" t="s">
        <v>307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</row>
    <row r="6" spans="2:13" x14ac:dyDescent="0.3">
      <c r="B6" s="11" t="s">
        <v>308</v>
      </c>
      <c r="C6" s="11" t="s">
        <v>309</v>
      </c>
      <c r="D6" s="11" t="s">
        <v>310</v>
      </c>
      <c r="E6" s="11" t="s">
        <v>311</v>
      </c>
      <c r="F6" s="11" t="s">
        <v>312</v>
      </c>
      <c r="G6" s="11" t="s">
        <v>313</v>
      </c>
      <c r="H6" s="11" t="s">
        <v>314</v>
      </c>
      <c r="I6" s="11" t="s">
        <v>315</v>
      </c>
      <c r="J6" s="11" t="s">
        <v>316</v>
      </c>
      <c r="K6" s="11" t="s">
        <v>317</v>
      </c>
      <c r="L6" s="11" t="s">
        <v>318</v>
      </c>
    </row>
    <row r="7" spans="2:13" x14ac:dyDescent="0.3">
      <c r="B7" s="39" t="s">
        <v>319</v>
      </c>
      <c r="C7" s="20">
        <v>385</v>
      </c>
      <c r="D7" s="20">
        <v>410</v>
      </c>
      <c r="E7" s="20">
        <v>370</v>
      </c>
      <c r="F7" s="20">
        <v>395</v>
      </c>
      <c r="G7" s="40">
        <v>450</v>
      </c>
      <c r="H7" s="38" t="s">
        <v>87</v>
      </c>
      <c r="I7" s="41">
        <f>MAX(D7:D7)</f>
        <v>410</v>
      </c>
      <c r="J7" s="41">
        <f>MIN(E7:E7)</f>
        <v>370</v>
      </c>
      <c r="K7" s="42">
        <f t="shared" ref="K7:K27" si="0">F7/I7-1</f>
        <v>-3.6585365853658569E-2</v>
      </c>
      <c r="L7" s="42">
        <f t="shared" ref="L7:L27" si="1">F7/J7-1</f>
        <v>6.7567567567567544E-2</v>
      </c>
    </row>
    <row r="8" spans="2:13" x14ac:dyDescent="0.3">
      <c r="B8" s="39" t="s">
        <v>320</v>
      </c>
      <c r="C8" s="20">
        <v>350</v>
      </c>
      <c r="D8" s="20">
        <v>380</v>
      </c>
      <c r="E8" s="20">
        <v>325</v>
      </c>
      <c r="F8" s="20">
        <v>365</v>
      </c>
      <c r="G8" s="40">
        <v>520</v>
      </c>
      <c r="H8" s="42">
        <f t="shared" ref="H8:H27" si="2">F8/F7-1</f>
        <v>-7.5949367088607556E-2</v>
      </c>
      <c r="I8" s="41">
        <f>MAX(D7:D8)</f>
        <v>410</v>
      </c>
      <c r="J8" s="41">
        <f>MIN(E7:E8)</f>
        <v>325</v>
      </c>
      <c r="K8" s="42">
        <f t="shared" si="0"/>
        <v>-0.1097560975609756</v>
      </c>
      <c r="L8" s="42">
        <f t="shared" si="1"/>
        <v>0.12307692307692308</v>
      </c>
    </row>
    <row r="9" spans="2:13" x14ac:dyDescent="0.3">
      <c r="B9" s="39" t="s">
        <v>321</v>
      </c>
      <c r="C9" s="20">
        <v>380</v>
      </c>
      <c r="D9" s="20">
        <v>420</v>
      </c>
      <c r="E9" s="20">
        <v>365</v>
      </c>
      <c r="F9" s="20">
        <v>405</v>
      </c>
      <c r="G9" s="40">
        <v>480</v>
      </c>
      <c r="H9" s="42">
        <f t="shared" si="2"/>
        <v>0.1095890410958904</v>
      </c>
      <c r="I9" s="41">
        <f>MAX(D7:D9)</f>
        <v>420</v>
      </c>
      <c r="J9" s="41">
        <f>MIN(E7:E9)</f>
        <v>325</v>
      </c>
      <c r="K9" s="42">
        <f t="shared" si="0"/>
        <v>-3.5714285714285698E-2</v>
      </c>
      <c r="L9" s="42">
        <f t="shared" si="1"/>
        <v>0.24615384615384617</v>
      </c>
    </row>
    <row r="10" spans="2:13" x14ac:dyDescent="0.3">
      <c r="B10" s="39" t="s">
        <v>322</v>
      </c>
      <c r="C10" s="20">
        <v>400</v>
      </c>
      <c r="D10" s="20">
        <v>430</v>
      </c>
      <c r="E10" s="20">
        <v>375</v>
      </c>
      <c r="F10" s="20">
        <v>410</v>
      </c>
      <c r="G10" s="40">
        <v>550</v>
      </c>
      <c r="H10" s="42">
        <f t="shared" si="2"/>
        <v>1.2345679012345734E-2</v>
      </c>
      <c r="I10" s="41">
        <f>MAX(D7:D10)</f>
        <v>430</v>
      </c>
      <c r="J10" s="41">
        <f>MIN(E7:E10)</f>
        <v>325</v>
      </c>
      <c r="K10" s="42">
        <f t="shared" si="0"/>
        <v>-4.6511627906976716E-2</v>
      </c>
      <c r="L10" s="42">
        <f t="shared" si="1"/>
        <v>0.2615384615384615</v>
      </c>
    </row>
    <row r="11" spans="2:13" x14ac:dyDescent="0.3">
      <c r="B11" s="39" t="s">
        <v>323</v>
      </c>
      <c r="C11" s="20">
        <v>395</v>
      </c>
      <c r="D11" s="20">
        <v>480</v>
      </c>
      <c r="E11" s="20">
        <v>380</v>
      </c>
      <c r="F11" s="20">
        <v>465</v>
      </c>
      <c r="G11" s="40">
        <v>620</v>
      </c>
      <c r="H11" s="42">
        <f t="shared" si="2"/>
        <v>0.13414634146341453</v>
      </c>
      <c r="I11" s="41">
        <f>MAX(D7:D11)</f>
        <v>480</v>
      </c>
      <c r="J11" s="41">
        <f>MIN(E7:E11)</f>
        <v>325</v>
      </c>
      <c r="K11" s="42">
        <f t="shared" si="0"/>
        <v>-3.125E-2</v>
      </c>
      <c r="L11" s="42">
        <f t="shared" si="1"/>
        <v>0.43076923076923079</v>
      </c>
    </row>
    <row r="12" spans="2:13" x14ac:dyDescent="0.3">
      <c r="B12" s="39" t="s">
        <v>324</v>
      </c>
      <c r="C12" s="20">
        <v>490</v>
      </c>
      <c r="D12" s="20">
        <v>540</v>
      </c>
      <c r="E12" s="20">
        <v>480</v>
      </c>
      <c r="F12" s="20">
        <v>520</v>
      </c>
      <c r="G12" s="40">
        <v>580</v>
      </c>
      <c r="H12" s="42">
        <f t="shared" si="2"/>
        <v>0.11827956989247301</v>
      </c>
      <c r="I12" s="41">
        <f>MAX(D7:D12)</f>
        <v>540</v>
      </c>
      <c r="J12" s="41">
        <f>MIN(E7:E12)</f>
        <v>325</v>
      </c>
      <c r="K12" s="42">
        <f t="shared" si="0"/>
        <v>-3.703703703703709E-2</v>
      </c>
      <c r="L12" s="42">
        <f t="shared" si="1"/>
        <v>0.60000000000000009</v>
      </c>
    </row>
    <row r="13" spans="2:13" x14ac:dyDescent="0.3">
      <c r="B13" s="39" t="s">
        <v>325</v>
      </c>
      <c r="C13" s="20">
        <v>530</v>
      </c>
      <c r="D13" s="20">
        <v>590</v>
      </c>
      <c r="E13" s="20">
        <v>510</v>
      </c>
      <c r="F13" s="20">
        <v>575</v>
      </c>
      <c r="G13" s="40">
        <v>640</v>
      </c>
      <c r="H13" s="42">
        <f t="shared" si="2"/>
        <v>0.10576923076923084</v>
      </c>
      <c r="I13" s="41">
        <f>MAX(D7:D13)</f>
        <v>590</v>
      </c>
      <c r="J13" s="41">
        <f>MIN(E7:E13)</f>
        <v>325</v>
      </c>
      <c r="K13" s="42">
        <f t="shared" si="0"/>
        <v>-2.5423728813559365E-2</v>
      </c>
      <c r="L13" s="42">
        <f t="shared" si="1"/>
        <v>0.76923076923076916</v>
      </c>
    </row>
    <row r="14" spans="2:13" x14ac:dyDescent="0.3">
      <c r="B14" s="39" t="s">
        <v>326</v>
      </c>
      <c r="C14" s="20">
        <v>620</v>
      </c>
      <c r="D14" s="20">
        <v>720</v>
      </c>
      <c r="E14" s="20">
        <v>605</v>
      </c>
      <c r="F14" s="20">
        <v>690</v>
      </c>
      <c r="G14" s="40">
        <v>720</v>
      </c>
      <c r="H14" s="42">
        <f t="shared" si="2"/>
        <v>0.19999999999999996</v>
      </c>
      <c r="I14" s="41">
        <f>MAX(D7:D14)</f>
        <v>720</v>
      </c>
      <c r="J14" s="41">
        <f>MIN(E7:E14)</f>
        <v>325</v>
      </c>
      <c r="K14" s="42">
        <f t="shared" si="0"/>
        <v>-4.166666666666663E-2</v>
      </c>
      <c r="L14" s="42">
        <f t="shared" si="1"/>
        <v>1.1230769230769231</v>
      </c>
    </row>
    <row r="15" spans="2:13" x14ac:dyDescent="0.3">
      <c r="B15" s="39" t="s">
        <v>327</v>
      </c>
      <c r="C15" s="20">
        <v>880</v>
      </c>
      <c r="D15" s="20">
        <v>935</v>
      </c>
      <c r="E15" s="20">
        <v>820</v>
      </c>
      <c r="F15" s="20">
        <v>895</v>
      </c>
      <c r="G15" s="40">
        <v>850</v>
      </c>
      <c r="H15" s="42">
        <f t="shared" si="2"/>
        <v>0.29710144927536231</v>
      </c>
      <c r="I15" s="41">
        <f>MAX(D7:D15)</f>
        <v>935</v>
      </c>
      <c r="J15" s="41">
        <f>MIN(E7:E15)</f>
        <v>325</v>
      </c>
      <c r="K15" s="42">
        <f t="shared" si="0"/>
        <v>-4.2780748663101553E-2</v>
      </c>
      <c r="L15" s="42">
        <f t="shared" si="1"/>
        <v>1.7538461538461538</v>
      </c>
    </row>
    <row r="16" spans="2:13" x14ac:dyDescent="0.3">
      <c r="B16" s="39" t="s">
        <v>328</v>
      </c>
      <c r="C16" s="20">
        <v>810</v>
      </c>
      <c r="D16" s="20">
        <v>875</v>
      </c>
      <c r="E16" s="20">
        <v>795</v>
      </c>
      <c r="F16" s="20">
        <v>830</v>
      </c>
      <c r="G16" s="40">
        <v>780</v>
      </c>
      <c r="H16" s="42">
        <f t="shared" si="2"/>
        <v>-7.2625698324022325E-2</v>
      </c>
      <c r="I16" s="41">
        <f>MAX(D7:D16)</f>
        <v>935</v>
      </c>
      <c r="J16" s="41">
        <f>MIN(E7:E16)</f>
        <v>325</v>
      </c>
      <c r="K16" s="42">
        <f t="shared" si="0"/>
        <v>-0.11229946524064172</v>
      </c>
      <c r="L16" s="42">
        <f t="shared" si="1"/>
        <v>1.5538461538461537</v>
      </c>
    </row>
    <row r="17" spans="2:13" x14ac:dyDescent="0.3">
      <c r="B17" s="39" t="s">
        <v>329</v>
      </c>
      <c r="C17" s="20">
        <v>835</v>
      </c>
      <c r="D17" s="20">
        <v>895</v>
      </c>
      <c r="E17" s="20">
        <v>820</v>
      </c>
      <c r="F17" s="20">
        <v>865</v>
      </c>
      <c r="G17" s="40">
        <v>920</v>
      </c>
      <c r="H17" s="42">
        <f t="shared" si="2"/>
        <v>4.2168674698795261E-2</v>
      </c>
      <c r="I17" s="41">
        <f>MAX(D7:D17)</f>
        <v>935</v>
      </c>
      <c r="J17" s="41">
        <f>MIN(E7:E17)</f>
        <v>325</v>
      </c>
      <c r="K17" s="42">
        <f t="shared" si="0"/>
        <v>-7.4866310160427774E-2</v>
      </c>
      <c r="L17" s="42">
        <f t="shared" si="1"/>
        <v>1.6615384615384614</v>
      </c>
    </row>
    <row r="18" spans="2:13" x14ac:dyDescent="0.3">
      <c r="B18" s="39" t="s">
        <v>330</v>
      </c>
      <c r="C18" s="20">
        <v>860</v>
      </c>
      <c r="D18" s="20">
        <v>897</v>
      </c>
      <c r="E18" s="20">
        <v>830</v>
      </c>
      <c r="F18" s="20">
        <v>875</v>
      </c>
      <c r="G18" s="40">
        <v>680</v>
      </c>
      <c r="H18" s="42">
        <f t="shared" si="2"/>
        <v>1.1560693641618602E-2</v>
      </c>
      <c r="I18" s="41">
        <f t="shared" ref="I18:I27" si="3">MAX(D7:D18)</f>
        <v>935</v>
      </c>
      <c r="J18" s="41">
        <f t="shared" ref="J18:J27" si="4">MIN(E7:E18)</f>
        <v>325</v>
      </c>
      <c r="K18" s="42">
        <f t="shared" si="0"/>
        <v>-6.4171122994652441E-2</v>
      </c>
      <c r="L18" s="42">
        <f t="shared" si="1"/>
        <v>1.6923076923076925</v>
      </c>
    </row>
    <row r="19" spans="2:13" x14ac:dyDescent="0.3">
      <c r="B19" s="39" t="s">
        <v>331</v>
      </c>
      <c r="C19" s="20">
        <v>850</v>
      </c>
      <c r="D19" s="20">
        <v>870</v>
      </c>
      <c r="E19" s="20">
        <v>720</v>
      </c>
      <c r="F19" s="20">
        <v>745</v>
      </c>
      <c r="G19" s="40">
        <v>730</v>
      </c>
      <c r="H19" s="42">
        <f t="shared" si="2"/>
        <v>-0.14857142857142858</v>
      </c>
      <c r="I19" s="41">
        <f t="shared" si="3"/>
        <v>935</v>
      </c>
      <c r="J19" s="41">
        <f t="shared" si="4"/>
        <v>325</v>
      </c>
      <c r="K19" s="42">
        <f t="shared" si="0"/>
        <v>-0.20320855614973266</v>
      </c>
      <c r="L19" s="42">
        <f t="shared" si="1"/>
        <v>1.2923076923076922</v>
      </c>
    </row>
    <row r="20" spans="2:13" x14ac:dyDescent="0.3">
      <c r="B20" s="39" t="s">
        <v>332</v>
      </c>
      <c r="C20" s="20">
        <v>745</v>
      </c>
      <c r="D20" s="20">
        <v>780</v>
      </c>
      <c r="E20" s="20">
        <v>680</v>
      </c>
      <c r="F20" s="20">
        <v>715</v>
      </c>
      <c r="G20" s="40">
        <v>690</v>
      </c>
      <c r="H20" s="42">
        <f t="shared" si="2"/>
        <v>-4.0268456375838979E-2</v>
      </c>
      <c r="I20" s="41">
        <f t="shared" si="3"/>
        <v>935</v>
      </c>
      <c r="J20" s="41">
        <f t="shared" si="4"/>
        <v>365</v>
      </c>
      <c r="K20" s="42">
        <f t="shared" si="0"/>
        <v>-0.23529411764705888</v>
      </c>
      <c r="L20" s="42">
        <f t="shared" si="1"/>
        <v>0.95890410958904115</v>
      </c>
    </row>
    <row r="21" spans="2:13" x14ac:dyDescent="0.3">
      <c r="B21" s="39" t="s">
        <v>333</v>
      </c>
      <c r="C21" s="20">
        <v>715</v>
      </c>
      <c r="D21" s="20">
        <v>740</v>
      </c>
      <c r="E21" s="20">
        <v>645</v>
      </c>
      <c r="F21" s="20">
        <v>670</v>
      </c>
      <c r="G21" s="40">
        <v>640</v>
      </c>
      <c r="H21" s="42">
        <f t="shared" si="2"/>
        <v>-6.2937062937062915E-2</v>
      </c>
      <c r="I21" s="41">
        <f t="shared" si="3"/>
        <v>935</v>
      </c>
      <c r="J21" s="41">
        <f t="shared" si="4"/>
        <v>375</v>
      </c>
      <c r="K21" s="42">
        <f t="shared" si="0"/>
        <v>-0.28342245989304815</v>
      </c>
      <c r="L21" s="42">
        <f t="shared" si="1"/>
        <v>0.78666666666666663</v>
      </c>
    </row>
    <row r="22" spans="2:13" x14ac:dyDescent="0.3">
      <c r="B22" s="39" t="s">
        <v>334</v>
      </c>
      <c r="C22" s="20">
        <v>670</v>
      </c>
      <c r="D22" s="20">
        <v>695</v>
      </c>
      <c r="E22" s="20">
        <v>489</v>
      </c>
      <c r="F22" s="20">
        <v>540</v>
      </c>
      <c r="G22" s="40">
        <v>890</v>
      </c>
      <c r="H22" s="42">
        <f t="shared" si="2"/>
        <v>-0.19402985074626866</v>
      </c>
      <c r="I22" s="41">
        <f t="shared" si="3"/>
        <v>935</v>
      </c>
      <c r="J22" s="41">
        <f t="shared" si="4"/>
        <v>380</v>
      </c>
      <c r="K22" s="42">
        <f t="shared" si="0"/>
        <v>-0.42245989304812837</v>
      </c>
      <c r="L22" s="42">
        <f t="shared" si="1"/>
        <v>0.42105263157894735</v>
      </c>
    </row>
    <row r="23" spans="2:13" x14ac:dyDescent="0.3">
      <c r="B23" s="39" t="s">
        <v>335</v>
      </c>
      <c r="C23" s="20">
        <v>625</v>
      </c>
      <c r="D23" s="20">
        <v>685</v>
      </c>
      <c r="E23" s="20">
        <v>580</v>
      </c>
      <c r="F23" s="20">
        <v>640</v>
      </c>
      <c r="G23" s="40">
        <v>550</v>
      </c>
      <c r="H23" s="42">
        <f t="shared" si="2"/>
        <v>0.18518518518518512</v>
      </c>
      <c r="I23" s="41">
        <f t="shared" si="3"/>
        <v>935</v>
      </c>
      <c r="J23" s="41">
        <f t="shared" si="4"/>
        <v>480</v>
      </c>
      <c r="K23" s="42">
        <f t="shared" si="0"/>
        <v>-0.31550802139037437</v>
      </c>
      <c r="L23" s="42">
        <f t="shared" si="1"/>
        <v>0.33333333333333326</v>
      </c>
    </row>
    <row r="24" spans="2:13" x14ac:dyDescent="0.3">
      <c r="B24" s="39" t="s">
        <v>336</v>
      </c>
      <c r="C24" s="20">
        <v>650</v>
      </c>
      <c r="D24" s="20">
        <v>720</v>
      </c>
      <c r="E24" s="20">
        <v>590</v>
      </c>
      <c r="F24" s="20">
        <v>680</v>
      </c>
      <c r="G24" s="40">
        <v>620</v>
      </c>
      <c r="H24" s="42">
        <f t="shared" si="2"/>
        <v>6.25E-2</v>
      </c>
      <c r="I24" s="41">
        <f t="shared" si="3"/>
        <v>935</v>
      </c>
      <c r="J24" s="41">
        <f t="shared" si="4"/>
        <v>489</v>
      </c>
      <c r="K24" s="42">
        <f t="shared" si="0"/>
        <v>-0.27272727272727271</v>
      </c>
      <c r="L24" s="42">
        <f t="shared" si="1"/>
        <v>0.39059304703476472</v>
      </c>
    </row>
    <row r="25" spans="2:13" x14ac:dyDescent="0.3">
      <c r="B25" s="39" t="s">
        <v>337</v>
      </c>
      <c r="C25" s="20">
        <v>680</v>
      </c>
      <c r="D25" s="20">
        <v>765</v>
      </c>
      <c r="E25" s="20">
        <v>615</v>
      </c>
      <c r="F25" s="20">
        <v>680</v>
      </c>
      <c r="G25" s="40">
        <v>710</v>
      </c>
      <c r="H25" s="42">
        <f t="shared" si="2"/>
        <v>0</v>
      </c>
      <c r="I25" s="41">
        <f t="shared" si="3"/>
        <v>935</v>
      </c>
      <c r="J25" s="41">
        <f t="shared" si="4"/>
        <v>489</v>
      </c>
      <c r="K25" s="42">
        <f t="shared" si="0"/>
        <v>-0.27272727272727271</v>
      </c>
      <c r="L25" s="42">
        <f t="shared" si="1"/>
        <v>0.39059304703476472</v>
      </c>
    </row>
    <row r="26" spans="2:13" x14ac:dyDescent="0.3">
      <c r="B26" s="39" t="s">
        <v>338</v>
      </c>
      <c r="C26" s="20">
        <v>620</v>
      </c>
      <c r="D26" s="20">
        <v>680</v>
      </c>
      <c r="E26" s="20">
        <v>540</v>
      </c>
      <c r="F26" s="20">
        <v>555</v>
      </c>
      <c r="G26" s="40">
        <v>580</v>
      </c>
      <c r="H26" s="42">
        <f t="shared" si="2"/>
        <v>-0.18382352941176472</v>
      </c>
      <c r="I26" s="41">
        <f t="shared" si="3"/>
        <v>935</v>
      </c>
      <c r="J26" s="41">
        <f t="shared" si="4"/>
        <v>489</v>
      </c>
      <c r="K26" s="42">
        <f t="shared" si="0"/>
        <v>-0.4064171122994652</v>
      </c>
      <c r="L26" s="42">
        <f t="shared" si="1"/>
        <v>0.13496932515337434</v>
      </c>
    </row>
    <row r="27" spans="2:13" x14ac:dyDescent="0.3">
      <c r="B27" s="39" t="s">
        <v>339</v>
      </c>
      <c r="C27" s="20">
        <v>555</v>
      </c>
      <c r="D27" s="20">
        <v>575</v>
      </c>
      <c r="E27" s="20">
        <v>525</v>
      </c>
      <c r="F27" s="20">
        <v>568</v>
      </c>
      <c r="G27" s="40">
        <v>510</v>
      </c>
      <c r="H27" s="42">
        <f t="shared" si="2"/>
        <v>2.3423423423423406E-2</v>
      </c>
      <c r="I27" s="41">
        <f t="shared" si="3"/>
        <v>897</v>
      </c>
      <c r="J27" s="41">
        <f t="shared" si="4"/>
        <v>489</v>
      </c>
      <c r="K27" s="42">
        <f t="shared" si="0"/>
        <v>-0.36677814938684505</v>
      </c>
      <c r="L27" s="42">
        <f t="shared" si="1"/>
        <v>0.16155419222903888</v>
      </c>
    </row>
    <row r="29" spans="2:13" x14ac:dyDescent="0.3">
      <c r="B29" s="4" t="s">
        <v>340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2:13" x14ac:dyDescent="0.3">
      <c r="B30" s="12" t="s">
        <v>341</v>
      </c>
      <c r="C30" s="41">
        <f>MAX(D16:D27)</f>
        <v>897</v>
      </c>
    </row>
    <row r="31" spans="2:13" x14ac:dyDescent="0.3">
      <c r="B31" s="12" t="s">
        <v>342</v>
      </c>
      <c r="C31" s="41">
        <f>MIN(E16:E27)</f>
        <v>489</v>
      </c>
    </row>
    <row r="32" spans="2:13" x14ac:dyDescent="0.3">
      <c r="B32" s="12" t="s">
        <v>343</v>
      </c>
      <c r="C32" s="41">
        <f>MAX(D7:D27)</f>
        <v>935</v>
      </c>
    </row>
    <row r="33" spans="2:3" x14ac:dyDescent="0.3">
      <c r="B33" s="12" t="s">
        <v>344</v>
      </c>
      <c r="C33" s="41">
        <f>MIN(E7:E27)</f>
        <v>325</v>
      </c>
    </row>
    <row r="34" spans="2:3" x14ac:dyDescent="0.3">
      <c r="B34" s="12" t="s">
        <v>345</v>
      </c>
      <c r="C34" s="41">
        <f>F27</f>
        <v>568</v>
      </c>
    </row>
    <row r="35" spans="2:3" x14ac:dyDescent="0.3">
      <c r="B35" s="12" t="s">
        <v>346</v>
      </c>
      <c r="C35" s="42">
        <f>F27/MAX(D7:D27)-1</f>
        <v>-0.39251336898395717</v>
      </c>
    </row>
    <row r="36" spans="2:3" x14ac:dyDescent="0.3">
      <c r="B36" s="12" t="s">
        <v>347</v>
      </c>
      <c r="C36" s="43">
        <f>AVERAGE(G7:G27)</f>
        <v>652.85714285714289</v>
      </c>
    </row>
    <row r="37" spans="2:3" x14ac:dyDescent="0.3">
      <c r="B37" s="12" t="s">
        <v>348</v>
      </c>
      <c r="C37" s="42">
        <f>AVERAGE(H8:H27)</f>
        <v>2.6193194750137271E-2</v>
      </c>
    </row>
    <row r="38" spans="2:3" x14ac:dyDescent="0.3">
      <c r="B38" s="12" t="s">
        <v>349</v>
      </c>
      <c r="C38" s="42">
        <f>STDEV(H8:H27)</f>
        <v>0.12991496676014794</v>
      </c>
    </row>
    <row r="39" spans="2:3" x14ac:dyDescent="0.3">
      <c r="B39" s="12" t="s">
        <v>350</v>
      </c>
      <c r="C39" s="42">
        <f>STDEV(H8:H27)*SQRT(12)</f>
        <v>0.45003864618439615</v>
      </c>
    </row>
    <row r="40" spans="2:3" x14ac:dyDescent="0.3">
      <c r="B40" s="12" t="s">
        <v>351</v>
      </c>
      <c r="C40" s="42">
        <f>F27/F7-1</f>
        <v>0.43797468354430369</v>
      </c>
    </row>
    <row r="41" spans="2:3" x14ac:dyDescent="0.3">
      <c r="B41" s="12" t="s">
        <v>352</v>
      </c>
      <c r="C41" s="42">
        <f>(F27/F7)^(1/4)-1</f>
        <v>9.5059734083502656E-2</v>
      </c>
    </row>
    <row r="79" spans="2:13" x14ac:dyDescent="0.3">
      <c r="B79" s="89" t="s">
        <v>353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</row>
    <row r="80" spans="2:13" x14ac:dyDescent="0.3">
      <c r="B80" s="11" t="s">
        <v>354</v>
      </c>
      <c r="C80" s="92" t="s">
        <v>355</v>
      </c>
      <c r="D80" s="92"/>
      <c r="E80" s="92"/>
      <c r="F80" s="92"/>
      <c r="G80" s="92"/>
      <c r="H80" s="92"/>
      <c r="I80" s="92" t="s">
        <v>356</v>
      </c>
      <c r="J80" s="92"/>
      <c r="K80" s="92"/>
      <c r="L80" s="92"/>
      <c r="M80" s="92"/>
    </row>
    <row r="81" spans="2:13" ht="15" customHeight="1" x14ac:dyDescent="0.3">
      <c r="B81" s="44" t="s">
        <v>357</v>
      </c>
      <c r="C81" s="90" t="s">
        <v>358</v>
      </c>
      <c r="D81" s="90"/>
      <c r="E81" s="90"/>
      <c r="F81" s="90"/>
      <c r="G81" s="90"/>
      <c r="H81" s="90"/>
      <c r="I81" s="91" t="s">
        <v>359</v>
      </c>
      <c r="J81" s="91"/>
      <c r="K81" s="91"/>
      <c r="L81" s="91"/>
      <c r="M81" s="91"/>
    </row>
    <row r="82" spans="2:13" ht="15" customHeight="1" x14ac:dyDescent="0.3">
      <c r="B82" s="44" t="s">
        <v>360</v>
      </c>
      <c r="C82" s="90" t="s">
        <v>361</v>
      </c>
      <c r="D82" s="90"/>
      <c r="E82" s="90"/>
      <c r="F82" s="90"/>
      <c r="G82" s="90"/>
      <c r="H82" s="90"/>
      <c r="I82" s="91" t="s">
        <v>362</v>
      </c>
      <c r="J82" s="91"/>
      <c r="K82" s="91"/>
      <c r="L82" s="91"/>
      <c r="M82" s="91"/>
    </row>
    <row r="83" spans="2:13" ht="15" customHeight="1" x14ac:dyDescent="0.3">
      <c r="B83" s="44" t="s">
        <v>363</v>
      </c>
      <c r="C83" s="90" t="s">
        <v>364</v>
      </c>
      <c r="D83" s="90"/>
      <c r="E83" s="90"/>
      <c r="F83" s="90"/>
      <c r="G83" s="90"/>
      <c r="H83" s="90"/>
      <c r="I83" s="91" t="s">
        <v>365</v>
      </c>
      <c r="J83" s="91"/>
      <c r="K83" s="91"/>
      <c r="L83" s="91"/>
      <c r="M83" s="91"/>
    </row>
    <row r="84" spans="2:13" ht="22.35" customHeight="1" x14ac:dyDescent="0.3">
      <c r="B84" s="44" t="s">
        <v>366</v>
      </c>
      <c r="C84" s="90" t="s">
        <v>367</v>
      </c>
      <c r="D84" s="90"/>
      <c r="E84" s="90"/>
      <c r="F84" s="90"/>
      <c r="G84" s="90"/>
      <c r="H84" s="90"/>
      <c r="I84" s="91" t="s">
        <v>368</v>
      </c>
      <c r="J84" s="91"/>
      <c r="K84" s="91"/>
      <c r="L84" s="91"/>
      <c r="M84" s="91"/>
    </row>
    <row r="85" spans="2:13" ht="15" customHeight="1" x14ac:dyDescent="0.3">
      <c r="B85" s="44" t="s">
        <v>369</v>
      </c>
      <c r="C85" s="90" t="s">
        <v>370</v>
      </c>
      <c r="D85" s="90"/>
      <c r="E85" s="90"/>
      <c r="F85" s="90"/>
      <c r="G85" s="90"/>
      <c r="H85" s="90"/>
      <c r="I85" s="91" t="s">
        <v>371</v>
      </c>
      <c r="J85" s="91"/>
      <c r="K85" s="91"/>
      <c r="L85" s="91"/>
      <c r="M85" s="91"/>
    </row>
    <row r="86" spans="2:13" ht="15" customHeight="1" x14ac:dyDescent="0.3">
      <c r="B86" s="44" t="s">
        <v>372</v>
      </c>
      <c r="C86" s="90" t="s">
        <v>373</v>
      </c>
      <c r="D86" s="90"/>
      <c r="E86" s="90"/>
      <c r="F86" s="90"/>
      <c r="G86" s="90"/>
      <c r="H86" s="90"/>
      <c r="I86" s="91" t="s">
        <v>374</v>
      </c>
      <c r="J86" s="91"/>
      <c r="K86" s="91"/>
      <c r="L86" s="91"/>
      <c r="M86" s="91"/>
    </row>
    <row r="87" spans="2:13" ht="15" customHeight="1" x14ac:dyDescent="0.3">
      <c r="B87" s="44" t="s">
        <v>375</v>
      </c>
      <c r="C87" s="90" t="s">
        <v>376</v>
      </c>
      <c r="D87" s="90"/>
      <c r="E87" s="90"/>
      <c r="F87" s="90"/>
      <c r="G87" s="90"/>
      <c r="H87" s="90"/>
      <c r="I87" s="91" t="s">
        <v>377</v>
      </c>
      <c r="J87" s="91"/>
      <c r="K87" s="91"/>
      <c r="L87" s="91"/>
      <c r="M87" s="91"/>
    </row>
    <row r="90" spans="2:13" x14ac:dyDescent="0.3">
      <c r="B90" s="89" t="s">
        <v>378</v>
      </c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</row>
    <row r="91" spans="2:13" x14ac:dyDescent="0.3">
      <c r="B91" s="11" t="s">
        <v>308</v>
      </c>
      <c r="C91" s="11" t="s">
        <v>309</v>
      </c>
      <c r="D91" s="11" t="s">
        <v>310</v>
      </c>
      <c r="E91" s="11" t="s">
        <v>311</v>
      </c>
      <c r="F91" s="11" t="s">
        <v>312</v>
      </c>
      <c r="G91" s="11" t="s">
        <v>313</v>
      </c>
      <c r="H91" s="11" t="s">
        <v>314</v>
      </c>
      <c r="I91" s="11" t="s">
        <v>315</v>
      </c>
      <c r="J91" s="11" t="s">
        <v>316</v>
      </c>
      <c r="K91" s="11" t="s">
        <v>317</v>
      </c>
      <c r="L91" s="11" t="s">
        <v>318</v>
      </c>
    </row>
    <row r="92" spans="2:13" x14ac:dyDescent="0.3">
      <c r="B92" s="39" t="s">
        <v>379</v>
      </c>
      <c r="C92" s="20">
        <v>435</v>
      </c>
      <c r="D92" s="20">
        <v>480</v>
      </c>
      <c r="E92" s="20">
        <v>385</v>
      </c>
      <c r="F92" s="20">
        <v>450</v>
      </c>
      <c r="G92" s="40">
        <v>180</v>
      </c>
      <c r="H92" s="38" t="s">
        <v>87</v>
      </c>
      <c r="I92" s="41">
        <f>MAX(D92:D92)</f>
        <v>480</v>
      </c>
      <c r="J92" s="41">
        <f>MIN(E92:E92)</f>
        <v>385</v>
      </c>
      <c r="K92" s="42">
        <f t="shared" ref="K92:K104" si="5">F92/I92-1</f>
        <v>-6.25E-2</v>
      </c>
      <c r="L92" s="42">
        <f t="shared" ref="L92:L104" si="6">F92/J92-1</f>
        <v>0.16883116883116878</v>
      </c>
    </row>
    <row r="93" spans="2:13" x14ac:dyDescent="0.3">
      <c r="B93" s="39" t="s">
        <v>328</v>
      </c>
      <c r="C93" s="20">
        <v>455</v>
      </c>
      <c r="D93" s="20">
        <v>525</v>
      </c>
      <c r="E93" s="20">
        <v>445</v>
      </c>
      <c r="F93" s="20">
        <v>510</v>
      </c>
      <c r="G93" s="40">
        <v>220</v>
      </c>
      <c r="H93" s="42">
        <f t="shared" ref="H93:H104" si="7">F93/F92-1</f>
        <v>0.1333333333333333</v>
      </c>
      <c r="I93" s="41">
        <f>MAX(D92:D93)</f>
        <v>525</v>
      </c>
      <c r="J93" s="41">
        <f>MIN(E92:E93)</f>
        <v>385</v>
      </c>
      <c r="K93" s="42">
        <f t="shared" si="5"/>
        <v>-2.8571428571428581E-2</v>
      </c>
      <c r="L93" s="42">
        <f t="shared" si="6"/>
        <v>0.32467532467532467</v>
      </c>
    </row>
    <row r="94" spans="2:13" x14ac:dyDescent="0.3">
      <c r="B94" s="39" t="s">
        <v>329</v>
      </c>
      <c r="C94" s="20">
        <v>535</v>
      </c>
      <c r="D94" s="20">
        <v>620</v>
      </c>
      <c r="E94" s="20">
        <v>520</v>
      </c>
      <c r="F94" s="20">
        <v>605</v>
      </c>
      <c r="G94" s="40">
        <v>260</v>
      </c>
      <c r="H94" s="42">
        <f t="shared" si="7"/>
        <v>0.18627450980392157</v>
      </c>
      <c r="I94" s="41">
        <f>MAX(D92:D94)</f>
        <v>620</v>
      </c>
      <c r="J94" s="41">
        <f>MIN(E92:E94)</f>
        <v>385</v>
      </c>
      <c r="K94" s="42">
        <f t="shared" si="5"/>
        <v>-2.4193548387096753E-2</v>
      </c>
      <c r="L94" s="42">
        <f t="shared" si="6"/>
        <v>0.5714285714285714</v>
      </c>
    </row>
    <row r="95" spans="2:13" x14ac:dyDescent="0.3">
      <c r="B95" s="39" t="s">
        <v>330</v>
      </c>
      <c r="C95" s="20">
        <v>620</v>
      </c>
      <c r="D95" s="20">
        <v>719</v>
      </c>
      <c r="E95" s="20">
        <v>610</v>
      </c>
      <c r="F95" s="20">
        <v>695</v>
      </c>
      <c r="G95" s="40">
        <v>310</v>
      </c>
      <c r="H95" s="42">
        <f t="shared" si="7"/>
        <v>0.14876033057851235</v>
      </c>
      <c r="I95" s="41">
        <f>MAX(D92:D95)</f>
        <v>719</v>
      </c>
      <c r="J95" s="41">
        <f>MIN(E92:E95)</f>
        <v>385</v>
      </c>
      <c r="K95" s="42">
        <f t="shared" si="5"/>
        <v>-3.3379694019471495E-2</v>
      </c>
      <c r="L95" s="42">
        <f t="shared" si="6"/>
        <v>0.80519480519480524</v>
      </c>
    </row>
    <row r="96" spans="2:13" x14ac:dyDescent="0.3">
      <c r="B96" s="39" t="s">
        <v>331</v>
      </c>
      <c r="C96" s="20">
        <v>690</v>
      </c>
      <c r="D96" s="20">
        <v>710</v>
      </c>
      <c r="E96" s="20">
        <v>580</v>
      </c>
      <c r="F96" s="20">
        <v>615</v>
      </c>
      <c r="G96" s="40">
        <v>280</v>
      </c>
      <c r="H96" s="42">
        <f t="shared" si="7"/>
        <v>-0.1151079136690647</v>
      </c>
      <c r="I96" s="41">
        <f>MAX(D92:D96)</f>
        <v>719</v>
      </c>
      <c r="J96" s="41">
        <f>MIN(E92:E96)</f>
        <v>385</v>
      </c>
      <c r="K96" s="42">
        <f t="shared" si="5"/>
        <v>-0.14464534075104307</v>
      </c>
      <c r="L96" s="42">
        <f t="shared" si="6"/>
        <v>0.59740259740259738</v>
      </c>
    </row>
    <row r="97" spans="2:13" x14ac:dyDescent="0.3">
      <c r="B97" s="39" t="s">
        <v>333</v>
      </c>
      <c r="C97" s="20">
        <v>605</v>
      </c>
      <c r="D97" s="20">
        <v>640</v>
      </c>
      <c r="E97" s="20">
        <v>520</v>
      </c>
      <c r="F97" s="20">
        <v>555</v>
      </c>
      <c r="G97" s="40">
        <v>240</v>
      </c>
      <c r="H97" s="42">
        <f t="shared" si="7"/>
        <v>-9.7560975609756073E-2</v>
      </c>
      <c r="I97" s="41">
        <f>MAX(D92:D97)</f>
        <v>719</v>
      </c>
      <c r="J97" s="41">
        <f>MIN(E92:E97)</f>
        <v>385</v>
      </c>
      <c r="K97" s="42">
        <f t="shared" si="5"/>
        <v>-0.22809457579972181</v>
      </c>
      <c r="L97" s="42">
        <f t="shared" si="6"/>
        <v>0.44155844155844148</v>
      </c>
    </row>
    <row r="98" spans="2:13" x14ac:dyDescent="0.3">
      <c r="B98" s="39" t="s">
        <v>380</v>
      </c>
      <c r="C98" s="20">
        <v>550</v>
      </c>
      <c r="D98" s="20">
        <v>590</v>
      </c>
      <c r="E98" s="20">
        <v>460</v>
      </c>
      <c r="F98" s="20">
        <v>485</v>
      </c>
      <c r="G98" s="40">
        <v>220</v>
      </c>
      <c r="H98" s="42">
        <f t="shared" si="7"/>
        <v>-0.12612612612612617</v>
      </c>
      <c r="I98" s="41">
        <f>MAX(D92:D98)</f>
        <v>719</v>
      </c>
      <c r="J98" s="41">
        <f>MIN(E92:E98)</f>
        <v>385</v>
      </c>
      <c r="K98" s="42">
        <f t="shared" si="5"/>
        <v>-0.32545201668984702</v>
      </c>
      <c r="L98" s="42">
        <f t="shared" si="6"/>
        <v>0.25974025974025983</v>
      </c>
    </row>
    <row r="99" spans="2:13" x14ac:dyDescent="0.3">
      <c r="B99" s="39" t="s">
        <v>335</v>
      </c>
      <c r="C99" s="20">
        <v>480</v>
      </c>
      <c r="D99" s="20">
        <v>510</v>
      </c>
      <c r="E99" s="20">
        <v>420</v>
      </c>
      <c r="F99" s="20">
        <v>455</v>
      </c>
      <c r="G99" s="40">
        <v>190</v>
      </c>
      <c r="H99" s="42">
        <f t="shared" si="7"/>
        <v>-6.1855670103092786E-2</v>
      </c>
      <c r="I99" s="41">
        <f>MAX(D92:D99)</f>
        <v>719</v>
      </c>
      <c r="J99" s="41">
        <f>MIN(E92:E99)</f>
        <v>385</v>
      </c>
      <c r="K99" s="42">
        <f t="shared" si="5"/>
        <v>-0.36717663421418634</v>
      </c>
      <c r="L99" s="42">
        <f t="shared" si="6"/>
        <v>0.18181818181818188</v>
      </c>
    </row>
    <row r="100" spans="2:13" x14ac:dyDescent="0.3">
      <c r="B100" s="39" t="s">
        <v>381</v>
      </c>
      <c r="C100" s="20">
        <v>450</v>
      </c>
      <c r="D100" s="20">
        <v>480</v>
      </c>
      <c r="E100" s="20">
        <v>380</v>
      </c>
      <c r="F100" s="20">
        <v>410</v>
      </c>
      <c r="G100" s="40">
        <v>175</v>
      </c>
      <c r="H100" s="42">
        <f t="shared" si="7"/>
        <v>-9.8901098901098883E-2</v>
      </c>
      <c r="I100" s="41">
        <f>MAX(D92:D100)</f>
        <v>719</v>
      </c>
      <c r="J100" s="41">
        <f>MIN(E92:E100)</f>
        <v>380</v>
      </c>
      <c r="K100" s="42">
        <f t="shared" si="5"/>
        <v>-0.42976356050069542</v>
      </c>
      <c r="L100" s="42">
        <f t="shared" si="6"/>
        <v>7.8947368421052655E-2</v>
      </c>
    </row>
    <row r="101" spans="2:13" x14ac:dyDescent="0.3">
      <c r="B101" s="39" t="s">
        <v>382</v>
      </c>
      <c r="C101" s="20">
        <v>405</v>
      </c>
      <c r="D101" s="20">
        <v>425</v>
      </c>
      <c r="E101" s="20">
        <v>335</v>
      </c>
      <c r="F101" s="20">
        <v>355</v>
      </c>
      <c r="G101" s="40">
        <v>210</v>
      </c>
      <c r="H101" s="42">
        <f t="shared" si="7"/>
        <v>-0.13414634146341464</v>
      </c>
      <c r="I101" s="41">
        <f>MAX(D92:D101)</f>
        <v>719</v>
      </c>
      <c r="J101" s="41">
        <f>MIN(E92:E101)</f>
        <v>335</v>
      </c>
      <c r="K101" s="42">
        <f t="shared" si="5"/>
        <v>-0.50625869262865097</v>
      </c>
      <c r="L101" s="42">
        <f t="shared" si="6"/>
        <v>5.9701492537313383E-2</v>
      </c>
    </row>
    <row r="102" spans="2:13" x14ac:dyDescent="0.3">
      <c r="B102" s="39" t="s">
        <v>337</v>
      </c>
      <c r="C102" s="20">
        <v>350</v>
      </c>
      <c r="D102" s="20">
        <v>370</v>
      </c>
      <c r="E102" s="20">
        <v>321</v>
      </c>
      <c r="F102" s="20">
        <v>335</v>
      </c>
      <c r="G102" s="40">
        <v>165</v>
      </c>
      <c r="H102" s="42">
        <f t="shared" si="7"/>
        <v>-5.633802816901412E-2</v>
      </c>
      <c r="I102" s="41">
        <f>MAX(D92:D102)</f>
        <v>719</v>
      </c>
      <c r="J102" s="41">
        <f>MIN(E92:E102)</f>
        <v>321</v>
      </c>
      <c r="K102" s="42">
        <f t="shared" si="5"/>
        <v>-0.53407510431154381</v>
      </c>
      <c r="L102" s="42">
        <f t="shared" si="6"/>
        <v>4.3613707165109039E-2</v>
      </c>
    </row>
    <row r="103" spans="2:13" x14ac:dyDescent="0.3">
      <c r="B103" s="39" t="s">
        <v>383</v>
      </c>
      <c r="C103" s="20">
        <v>335</v>
      </c>
      <c r="D103" s="20">
        <v>342</v>
      </c>
      <c r="E103" s="20">
        <v>322</v>
      </c>
      <c r="F103" s="20">
        <v>331</v>
      </c>
      <c r="G103" s="40">
        <v>145</v>
      </c>
      <c r="H103" s="42">
        <f t="shared" si="7"/>
        <v>-1.1940298507462699E-2</v>
      </c>
      <c r="I103" s="41">
        <f>MAX(D92:D103)</f>
        <v>719</v>
      </c>
      <c r="J103" s="41">
        <f>MIN(E92:E103)</f>
        <v>321</v>
      </c>
      <c r="K103" s="42">
        <f t="shared" si="5"/>
        <v>-0.53963838664812247</v>
      </c>
      <c r="L103" s="42">
        <f t="shared" si="6"/>
        <v>3.1152647975077885E-2</v>
      </c>
    </row>
    <row r="104" spans="2:13" x14ac:dyDescent="0.3">
      <c r="B104" s="39" t="s">
        <v>339</v>
      </c>
      <c r="C104" s="20">
        <v>331</v>
      </c>
      <c r="D104" s="20">
        <v>345</v>
      </c>
      <c r="E104" s="20">
        <v>325</v>
      </c>
      <c r="F104" s="20">
        <v>331</v>
      </c>
      <c r="G104" s="40">
        <v>130</v>
      </c>
      <c r="H104" s="42">
        <f t="shared" si="7"/>
        <v>0</v>
      </c>
      <c r="I104" s="41">
        <f>MAX(D93:D104)</f>
        <v>719</v>
      </c>
      <c r="J104" s="41">
        <f>MIN(E93:E104)</f>
        <v>321</v>
      </c>
      <c r="K104" s="42">
        <f t="shared" si="5"/>
        <v>-0.53963838664812247</v>
      </c>
      <c r="L104" s="42">
        <f t="shared" si="6"/>
        <v>3.1152647975077885E-2</v>
      </c>
    </row>
    <row r="106" spans="2:13" x14ac:dyDescent="0.3">
      <c r="B106" s="4" t="s">
        <v>384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spans="2:13" x14ac:dyDescent="0.3">
      <c r="B107" s="12" t="s">
        <v>385</v>
      </c>
      <c r="C107" s="20">
        <v>435</v>
      </c>
    </row>
    <row r="108" spans="2:13" x14ac:dyDescent="0.3">
      <c r="B108" s="12" t="s">
        <v>341</v>
      </c>
      <c r="C108" s="41">
        <f>MAX(D93:D104)</f>
        <v>719</v>
      </c>
    </row>
    <row r="109" spans="2:13" x14ac:dyDescent="0.3">
      <c r="B109" s="12" t="s">
        <v>342</v>
      </c>
      <c r="C109" s="41">
        <f>MIN(E93:E104)</f>
        <v>321</v>
      </c>
    </row>
    <row r="110" spans="2:13" x14ac:dyDescent="0.3">
      <c r="B110" s="12" t="s">
        <v>386</v>
      </c>
      <c r="C110" s="41">
        <f>MAX(D92:D104)</f>
        <v>719</v>
      </c>
    </row>
    <row r="111" spans="2:13" x14ac:dyDescent="0.3">
      <c r="B111" s="12" t="s">
        <v>387</v>
      </c>
      <c r="C111" s="41">
        <f>MIN(E92:E104)</f>
        <v>321</v>
      </c>
    </row>
    <row r="112" spans="2:13" x14ac:dyDescent="0.3">
      <c r="B112" s="12" t="s">
        <v>345</v>
      </c>
      <c r="C112" s="41">
        <f>F104</f>
        <v>331</v>
      </c>
    </row>
    <row r="113" spans="2:3" x14ac:dyDescent="0.3">
      <c r="B113" s="12" t="s">
        <v>388</v>
      </c>
      <c r="C113" s="42">
        <f>F104/MAX(D92:D104)-1</f>
        <v>-0.53963838664812247</v>
      </c>
    </row>
    <row r="114" spans="2:3" x14ac:dyDescent="0.3">
      <c r="B114" s="12" t="s">
        <v>347</v>
      </c>
      <c r="C114" s="43">
        <f>AVERAGE(G92:G104)</f>
        <v>209.61538461538461</v>
      </c>
    </row>
    <row r="115" spans="2:3" x14ac:dyDescent="0.3">
      <c r="B115" s="12" t="s">
        <v>348</v>
      </c>
      <c r="C115" s="42">
        <f>AVERAGE(H93:H104)</f>
        <v>-1.9467356569438571E-2</v>
      </c>
    </row>
    <row r="116" spans="2:3" x14ac:dyDescent="0.3">
      <c r="B116" s="12" t="s">
        <v>349</v>
      </c>
      <c r="C116" s="42">
        <f>STDEV(H93:H104)</f>
        <v>0.11427756595143078</v>
      </c>
    </row>
    <row r="117" spans="2:3" x14ac:dyDescent="0.3">
      <c r="B117" s="12" t="s">
        <v>350</v>
      </c>
      <c r="C117" s="42">
        <f>STDEV(H93:H104)*SQRT(12)</f>
        <v>0.39586910078636262</v>
      </c>
    </row>
    <row r="118" spans="2:3" x14ac:dyDescent="0.3">
      <c r="B118" s="12" t="s">
        <v>389</v>
      </c>
      <c r="C118" s="42">
        <f>F104/C92-1</f>
        <v>-0.23908045977011494</v>
      </c>
    </row>
    <row r="156" spans="2:13" x14ac:dyDescent="0.3">
      <c r="B156" s="89" t="s">
        <v>390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</row>
    <row r="157" spans="2:13" x14ac:dyDescent="0.3">
      <c r="B157" s="11" t="s">
        <v>354</v>
      </c>
      <c r="C157" s="92" t="s">
        <v>355</v>
      </c>
      <c r="D157" s="92"/>
      <c r="E157" s="92"/>
      <c r="F157" s="92"/>
      <c r="G157" s="92"/>
      <c r="H157" s="92"/>
      <c r="I157" s="92" t="s">
        <v>356</v>
      </c>
      <c r="J157" s="92"/>
      <c r="K157" s="92"/>
      <c r="L157" s="92"/>
      <c r="M157" s="92"/>
    </row>
    <row r="158" spans="2:13" ht="15" customHeight="1" x14ac:dyDescent="0.3">
      <c r="B158" s="44" t="s">
        <v>391</v>
      </c>
      <c r="C158" s="90" t="s">
        <v>392</v>
      </c>
      <c r="D158" s="90"/>
      <c r="E158" s="90"/>
      <c r="F158" s="90"/>
      <c r="G158" s="90"/>
      <c r="H158" s="90"/>
      <c r="I158" s="91" t="s">
        <v>393</v>
      </c>
      <c r="J158" s="91"/>
      <c r="K158" s="91"/>
      <c r="L158" s="91"/>
      <c r="M158" s="91"/>
    </row>
    <row r="159" spans="2:13" ht="15" customHeight="1" x14ac:dyDescent="0.3">
      <c r="B159" s="44" t="s">
        <v>394</v>
      </c>
      <c r="C159" s="90" t="s">
        <v>395</v>
      </c>
      <c r="D159" s="90"/>
      <c r="E159" s="90"/>
      <c r="F159" s="90"/>
      <c r="G159" s="90"/>
      <c r="H159" s="90"/>
      <c r="I159" s="91" t="s">
        <v>396</v>
      </c>
      <c r="J159" s="91"/>
      <c r="K159" s="91"/>
      <c r="L159" s="91"/>
      <c r="M159" s="91"/>
    </row>
    <row r="160" spans="2:13" ht="15" customHeight="1" x14ac:dyDescent="0.3">
      <c r="B160" s="44" t="s">
        <v>363</v>
      </c>
      <c r="C160" s="90" t="s">
        <v>397</v>
      </c>
      <c r="D160" s="90"/>
      <c r="E160" s="90"/>
      <c r="F160" s="90"/>
      <c r="G160" s="90"/>
      <c r="H160" s="90"/>
      <c r="I160" s="91" t="s">
        <v>398</v>
      </c>
      <c r="J160" s="91"/>
      <c r="K160" s="91"/>
      <c r="L160" s="91"/>
      <c r="M160" s="91"/>
    </row>
    <row r="161" spans="2:13" ht="15" customHeight="1" x14ac:dyDescent="0.3">
      <c r="B161" s="44" t="s">
        <v>366</v>
      </c>
      <c r="C161" s="90" t="s">
        <v>399</v>
      </c>
      <c r="D161" s="90"/>
      <c r="E161" s="90"/>
      <c r="F161" s="90"/>
      <c r="G161" s="90"/>
      <c r="H161" s="90"/>
      <c r="I161" s="91" t="s">
        <v>400</v>
      </c>
      <c r="J161" s="91"/>
      <c r="K161" s="91"/>
      <c r="L161" s="91"/>
      <c r="M161" s="91"/>
    </row>
    <row r="162" spans="2:13" ht="15" customHeight="1" x14ac:dyDescent="0.3">
      <c r="B162" s="44" t="s">
        <v>401</v>
      </c>
      <c r="C162" s="90" t="s">
        <v>402</v>
      </c>
      <c r="D162" s="90"/>
      <c r="E162" s="90"/>
      <c r="F162" s="90"/>
      <c r="G162" s="90"/>
      <c r="H162" s="90"/>
      <c r="I162" s="91" t="s">
        <v>403</v>
      </c>
      <c r="J162" s="91"/>
      <c r="K162" s="91"/>
      <c r="L162" s="91"/>
      <c r="M162" s="91"/>
    </row>
    <row r="163" spans="2:13" ht="15" customHeight="1" x14ac:dyDescent="0.3">
      <c r="B163" s="44" t="s">
        <v>404</v>
      </c>
      <c r="C163" s="90" t="s">
        <v>405</v>
      </c>
      <c r="D163" s="90"/>
      <c r="E163" s="90"/>
      <c r="F163" s="90"/>
      <c r="G163" s="90"/>
      <c r="H163" s="90"/>
      <c r="I163" s="91" t="s">
        <v>406</v>
      </c>
      <c r="J163" s="91"/>
      <c r="K163" s="91"/>
      <c r="L163" s="91"/>
      <c r="M163" s="91"/>
    </row>
    <row r="164" spans="2:13" ht="15" customHeight="1" x14ac:dyDescent="0.3">
      <c r="B164" s="44" t="s">
        <v>375</v>
      </c>
      <c r="C164" s="90" t="s">
        <v>407</v>
      </c>
      <c r="D164" s="90"/>
      <c r="E164" s="90"/>
      <c r="F164" s="90"/>
      <c r="G164" s="90"/>
      <c r="H164" s="90"/>
      <c r="I164" s="91" t="s">
        <v>408</v>
      </c>
      <c r="J164" s="91"/>
      <c r="K164" s="91"/>
      <c r="L164" s="91"/>
      <c r="M164" s="91"/>
    </row>
    <row r="167" spans="2:13" x14ac:dyDescent="0.3">
      <c r="B167" s="89" t="s">
        <v>409</v>
      </c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</row>
    <row r="168" spans="2:13" x14ac:dyDescent="0.3"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</row>
    <row r="169" spans="2:13" x14ac:dyDescent="0.3">
      <c r="B169" s="85" t="s">
        <v>410</v>
      </c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</row>
    <row r="170" spans="2:13" x14ac:dyDescent="0.3">
      <c r="B170" s="86" t="s">
        <v>411</v>
      </c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</row>
    <row r="171" spans="2:13" x14ac:dyDescent="0.3">
      <c r="B171" s="86" t="s">
        <v>412</v>
      </c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</row>
    <row r="172" spans="2:13" x14ac:dyDescent="0.3">
      <c r="B172" s="86" t="s">
        <v>413</v>
      </c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</row>
    <row r="173" spans="2:13" x14ac:dyDescent="0.3">
      <c r="B173" s="86" t="s">
        <v>414</v>
      </c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</row>
    <row r="174" spans="2:13" x14ac:dyDescent="0.3">
      <c r="B174" s="86" t="s">
        <v>415</v>
      </c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</row>
    <row r="175" spans="2:13" x14ac:dyDescent="0.3"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</row>
    <row r="176" spans="2:13" x14ac:dyDescent="0.3">
      <c r="B176" s="85" t="s">
        <v>416</v>
      </c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</row>
    <row r="177" spans="2:13" x14ac:dyDescent="0.3">
      <c r="B177" s="86" t="s">
        <v>417</v>
      </c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</row>
    <row r="178" spans="2:13" x14ac:dyDescent="0.3">
      <c r="B178" s="86" t="s">
        <v>418</v>
      </c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</row>
    <row r="179" spans="2:13" x14ac:dyDescent="0.3">
      <c r="B179" s="86" t="s">
        <v>419</v>
      </c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</row>
    <row r="180" spans="2:13" x14ac:dyDescent="0.3">
      <c r="B180" s="86" t="s">
        <v>420</v>
      </c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</row>
    <row r="181" spans="2:13" x14ac:dyDescent="0.3">
      <c r="B181" s="86" t="s">
        <v>421</v>
      </c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</row>
    <row r="182" spans="2:13" x14ac:dyDescent="0.3"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</row>
    <row r="183" spans="2:13" x14ac:dyDescent="0.3">
      <c r="B183" s="85" t="s">
        <v>422</v>
      </c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</row>
    <row r="184" spans="2:13" x14ac:dyDescent="0.3">
      <c r="B184" s="86" t="s">
        <v>423</v>
      </c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</row>
    <row r="185" spans="2:13" x14ac:dyDescent="0.3">
      <c r="B185" s="86" t="s">
        <v>424</v>
      </c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</row>
    <row r="186" spans="2:13" x14ac:dyDescent="0.3">
      <c r="B186" s="86" t="s">
        <v>425</v>
      </c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</row>
    <row r="187" spans="2:13" x14ac:dyDescent="0.3">
      <c r="B187" s="85" t="s">
        <v>426</v>
      </c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</row>
    <row r="188" spans="2:13" x14ac:dyDescent="0.3">
      <c r="B188" s="86" t="s">
        <v>427</v>
      </c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</row>
    <row r="189" spans="2:13" x14ac:dyDescent="0.3">
      <c r="B189" s="86" t="s">
        <v>428</v>
      </c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</row>
    <row r="190" spans="2:13" x14ac:dyDescent="0.3">
      <c r="B190" s="86" t="s">
        <v>429</v>
      </c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</row>
    <row r="192" spans="2:13" x14ac:dyDescent="0.3">
      <c r="B192" s="87" t="s">
        <v>430</v>
      </c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</row>
  </sheetData>
  <mergeCells count="61">
    <mergeCell ref="B5:M5"/>
    <mergeCell ref="B79:M79"/>
    <mergeCell ref="C80:H80"/>
    <mergeCell ref="I80:M80"/>
    <mergeCell ref="C81:H81"/>
    <mergeCell ref="I81:M81"/>
    <mergeCell ref="C82:H82"/>
    <mergeCell ref="I82:M82"/>
    <mergeCell ref="C83:H83"/>
    <mergeCell ref="I83:M83"/>
    <mergeCell ref="C84:H84"/>
    <mergeCell ref="I84:M84"/>
    <mergeCell ref="C85:H85"/>
    <mergeCell ref="I85:M85"/>
    <mergeCell ref="C86:H86"/>
    <mergeCell ref="I86:M86"/>
    <mergeCell ref="C87:H87"/>
    <mergeCell ref="I87:M87"/>
    <mergeCell ref="B90:M90"/>
    <mergeCell ref="B156:M156"/>
    <mergeCell ref="C157:H157"/>
    <mergeCell ref="I157:M157"/>
    <mergeCell ref="C158:H158"/>
    <mergeCell ref="I158:M158"/>
    <mergeCell ref="C159:H159"/>
    <mergeCell ref="I159:M159"/>
    <mergeCell ref="C160:H160"/>
    <mergeCell ref="I160:M160"/>
    <mergeCell ref="C161:H161"/>
    <mergeCell ref="I161:M161"/>
    <mergeCell ref="C162:H162"/>
    <mergeCell ref="I162:M162"/>
    <mergeCell ref="C163:H163"/>
    <mergeCell ref="I163:M163"/>
    <mergeCell ref="C164:H164"/>
    <mergeCell ref="I164:M164"/>
    <mergeCell ref="B167:M167"/>
    <mergeCell ref="B168:M168"/>
    <mergeCell ref="B169:M169"/>
    <mergeCell ref="B170:M170"/>
    <mergeCell ref="B171:M171"/>
    <mergeCell ref="B172:M172"/>
    <mergeCell ref="B173:M173"/>
    <mergeCell ref="B174:M174"/>
    <mergeCell ref="B175:M175"/>
    <mergeCell ref="B176:M176"/>
    <mergeCell ref="B177:M177"/>
    <mergeCell ref="B178:M178"/>
    <mergeCell ref="B179:M179"/>
    <mergeCell ref="B180:M180"/>
    <mergeCell ref="B181:M181"/>
    <mergeCell ref="B182:M182"/>
    <mergeCell ref="B183:M183"/>
    <mergeCell ref="B184:M184"/>
    <mergeCell ref="B185:M185"/>
    <mergeCell ref="B186:M186"/>
    <mergeCell ref="B187:M187"/>
    <mergeCell ref="B188:M188"/>
    <mergeCell ref="B189:M189"/>
    <mergeCell ref="B190:M190"/>
    <mergeCell ref="B192:M19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53"/>
  <sheetViews>
    <sheetView zoomScaleNormal="100" workbookViewId="0"/>
  </sheetViews>
  <sheetFormatPr defaultColWidth="8.6640625" defaultRowHeight="14.4" x14ac:dyDescent="0.3"/>
  <cols>
    <col min="1" max="1" width="2" customWidth="1"/>
    <col min="2" max="2" width="36" customWidth="1"/>
    <col min="3" max="9" width="13" customWidth="1"/>
  </cols>
  <sheetData>
    <row r="2" spans="2:7" ht="19.5" customHeight="1" x14ac:dyDescent="0.3">
      <c r="B2" s="9" t="s">
        <v>431</v>
      </c>
    </row>
    <row r="3" spans="2:7" ht="15" customHeight="1" x14ac:dyDescent="0.3">
      <c r="B3" s="10" t="s">
        <v>432</v>
      </c>
    </row>
    <row r="5" spans="2:7" ht="15" customHeight="1" x14ac:dyDescent="0.3">
      <c r="B5" s="12" t="s">
        <v>124</v>
      </c>
      <c r="C5" s="45">
        <f>Assumptions!C37</f>
        <v>0.12367600000000001</v>
      </c>
    </row>
    <row r="6" spans="2:7" ht="15" customHeight="1" x14ac:dyDescent="0.3">
      <c r="B6" s="12" t="s">
        <v>433</v>
      </c>
      <c r="C6" s="45">
        <f>Assumptions!C48</f>
        <v>0.05</v>
      </c>
    </row>
    <row r="7" spans="2:7" ht="15" customHeight="1" x14ac:dyDescent="0.3">
      <c r="B7" s="12" t="s">
        <v>434</v>
      </c>
      <c r="C7" s="45">
        <f>Assumptions!C33</f>
        <v>0.252</v>
      </c>
    </row>
    <row r="9" spans="2:7" ht="15" customHeight="1" x14ac:dyDescent="0.3">
      <c r="B9" s="28" t="s">
        <v>199</v>
      </c>
      <c r="C9" s="11" t="s">
        <v>204</v>
      </c>
      <c r="D9" s="11" t="s">
        <v>205</v>
      </c>
      <c r="E9" s="11" t="s">
        <v>206</v>
      </c>
      <c r="F9" s="11" t="s">
        <v>435</v>
      </c>
      <c r="G9" s="11" t="s">
        <v>436</v>
      </c>
    </row>
    <row r="10" spans="2:7" ht="15" customHeight="1" x14ac:dyDescent="0.3">
      <c r="B10" s="12" t="s">
        <v>437</v>
      </c>
      <c r="C10" s="46">
        <f>Target_Financials!G7</f>
        <v>1920</v>
      </c>
      <c r="D10" s="46">
        <f>Target_Financials!H7</f>
        <v>2381</v>
      </c>
      <c r="E10" s="46">
        <f>Target_Financials!I7</f>
        <v>2857</v>
      </c>
      <c r="F10" s="18">
        <f>E10*(1+Assumptions!C42)</f>
        <v>3314.12</v>
      </c>
      <c r="G10" s="18">
        <f>F10*(1+Assumptions!C43)</f>
        <v>3711.8144000000002</v>
      </c>
    </row>
    <row r="11" spans="2:7" ht="15" customHeight="1" x14ac:dyDescent="0.3">
      <c r="B11" s="15" t="s">
        <v>209</v>
      </c>
      <c r="C11" s="23">
        <f>C10/Target_Financials!F7-1</f>
        <v>0.28000000000000003</v>
      </c>
      <c r="D11" s="23">
        <f>D10/C10-1</f>
        <v>0.24010416666666656</v>
      </c>
      <c r="E11" s="23">
        <f>E10/D10-1</f>
        <v>0.19991600167996637</v>
      </c>
      <c r="F11" s="23">
        <f>F10/E10-1</f>
        <v>0.15999999999999992</v>
      </c>
      <c r="G11" s="23">
        <f>G10/F10-1</f>
        <v>0.12000000000000011</v>
      </c>
    </row>
    <row r="12" spans="2:7" ht="15" customHeight="1" x14ac:dyDescent="0.3">
      <c r="B12" s="12" t="s">
        <v>210</v>
      </c>
      <c r="C12" s="18">
        <f>C10*Assumptions!$C$44</f>
        <v>537.6</v>
      </c>
      <c r="D12" s="18">
        <f>D10*Assumptions!$C$44</f>
        <v>666.68000000000006</v>
      </c>
      <c r="E12" s="18">
        <f>E10*Assumptions!$C$44</f>
        <v>799.96</v>
      </c>
      <c r="F12" s="18">
        <f>F10*Assumptions!$C$44</f>
        <v>927.95360000000005</v>
      </c>
      <c r="G12" s="18">
        <f>G10*Assumptions!$C$44</f>
        <v>1039.3080320000001</v>
      </c>
    </row>
    <row r="13" spans="2:7" ht="15" customHeight="1" x14ac:dyDescent="0.3">
      <c r="B13" s="16" t="s">
        <v>438</v>
      </c>
      <c r="C13" s="18">
        <f>C10*Assumptions!$C$45</f>
        <v>422.4</v>
      </c>
      <c r="D13" s="18">
        <f>D10*Assumptions!$C$45</f>
        <v>523.82000000000005</v>
      </c>
      <c r="E13" s="18">
        <f>E10*Assumptions!$C$45</f>
        <v>628.54</v>
      </c>
      <c r="F13" s="18">
        <f>F10*Assumptions!$C$45</f>
        <v>729.10640000000001</v>
      </c>
      <c r="G13" s="18">
        <f>G10*Assumptions!$C$45</f>
        <v>816.59916800000008</v>
      </c>
    </row>
    <row r="14" spans="2:7" ht="15" customHeight="1" x14ac:dyDescent="0.3">
      <c r="B14" s="12" t="s">
        <v>213</v>
      </c>
      <c r="C14" s="18">
        <f>C12-C13</f>
        <v>115.20000000000005</v>
      </c>
      <c r="D14" s="18">
        <f>D12-D13</f>
        <v>142.86000000000001</v>
      </c>
      <c r="E14" s="18">
        <f>E12-E13</f>
        <v>171.42000000000007</v>
      </c>
      <c r="F14" s="18">
        <f>F12-F13</f>
        <v>198.84720000000004</v>
      </c>
      <c r="G14" s="18">
        <f>G12-G13</f>
        <v>222.70886400000006</v>
      </c>
    </row>
    <row r="15" spans="2:7" ht="15" customHeight="1" x14ac:dyDescent="0.3">
      <c r="B15" s="16" t="s">
        <v>439</v>
      </c>
      <c r="C15" s="18">
        <f>MAX(C14*$C$7,0)</f>
        <v>29.030400000000011</v>
      </c>
      <c r="D15" s="18">
        <f>MAX(D14*$C$7,0)</f>
        <v>36.000720000000001</v>
      </c>
      <c r="E15" s="18">
        <f>MAX(E14*$C$7,0)</f>
        <v>43.197840000000021</v>
      </c>
      <c r="F15" s="18">
        <f>MAX(F14*$C$7,0)</f>
        <v>50.10949440000001</v>
      </c>
      <c r="G15" s="18">
        <f>MAX(G14*$C$7,0)</f>
        <v>56.122633728000018</v>
      </c>
    </row>
    <row r="16" spans="2:7" ht="15" customHeight="1" x14ac:dyDescent="0.3">
      <c r="B16" s="12" t="s">
        <v>440</v>
      </c>
      <c r="C16" s="18">
        <f>C14-C15</f>
        <v>86.169600000000031</v>
      </c>
      <c r="D16" s="18">
        <f>D14-D15</f>
        <v>106.85928000000001</v>
      </c>
      <c r="E16" s="18">
        <f>E14-E15</f>
        <v>128.22216000000006</v>
      </c>
      <c r="F16" s="18">
        <f>F14-F15</f>
        <v>148.73770560000003</v>
      </c>
      <c r="G16" s="18">
        <f>G14-G15</f>
        <v>166.58623027200005</v>
      </c>
    </row>
    <row r="17" spans="2:7" ht="15" customHeight="1" x14ac:dyDescent="0.3">
      <c r="B17" s="16" t="s">
        <v>441</v>
      </c>
      <c r="C17" s="18">
        <f>C13</f>
        <v>422.4</v>
      </c>
      <c r="D17" s="18">
        <f>D13</f>
        <v>523.82000000000005</v>
      </c>
      <c r="E17" s="18">
        <f>E13</f>
        <v>628.54</v>
      </c>
      <c r="F17" s="18">
        <f>F13</f>
        <v>729.10640000000001</v>
      </c>
      <c r="G17" s="18">
        <f>G13</f>
        <v>816.59916800000008</v>
      </c>
    </row>
    <row r="18" spans="2:7" ht="15" customHeight="1" x14ac:dyDescent="0.3">
      <c r="B18" s="16" t="s">
        <v>442</v>
      </c>
      <c r="C18" s="18">
        <f>C10*Assumptions!$C$46</f>
        <v>230.39999999999998</v>
      </c>
      <c r="D18" s="18">
        <f>D10*Assumptions!$C$46</f>
        <v>285.71999999999997</v>
      </c>
      <c r="E18" s="18">
        <f>E10*Assumptions!$C$46</f>
        <v>342.84</v>
      </c>
      <c r="F18" s="18">
        <f>F10*Assumptions!$C$46</f>
        <v>397.69439999999997</v>
      </c>
      <c r="G18" s="18">
        <f>G10*Assumptions!$C$46</f>
        <v>445.41772800000001</v>
      </c>
    </row>
    <row r="19" spans="2:7" ht="15" customHeight="1" x14ac:dyDescent="0.3">
      <c r="B19" s="16" t="s">
        <v>443</v>
      </c>
      <c r="C19" s="18">
        <f>(C10-Target_Financials!F7)*Assumptions!$C$47</f>
        <v>21</v>
      </c>
      <c r="D19" s="18">
        <f>(D10-C10)*Assumptions!$C$47</f>
        <v>23.05</v>
      </c>
      <c r="E19" s="18">
        <f>(E10-D10)*Assumptions!$C$47</f>
        <v>23.8</v>
      </c>
      <c r="F19" s="18">
        <f>(F10-E10)*Assumptions!$C$47</f>
        <v>22.855999999999995</v>
      </c>
      <c r="G19" s="18">
        <f>(G10-F10)*Assumptions!$C$47</f>
        <v>19.884720000000016</v>
      </c>
    </row>
    <row r="20" spans="2:7" ht="15" customHeight="1" x14ac:dyDescent="0.3">
      <c r="B20" s="30" t="s">
        <v>444</v>
      </c>
      <c r="C20" s="31">
        <f>C16+C17-C18-C19</f>
        <v>257.16960000000006</v>
      </c>
      <c r="D20" s="31">
        <f>D16+D17-D18-D19</f>
        <v>321.90928000000008</v>
      </c>
      <c r="E20" s="31">
        <f>E16+E17-E18-E19</f>
        <v>390.12216000000001</v>
      </c>
      <c r="F20" s="31">
        <f>F16+F17-F18-F19</f>
        <v>457.29370560000007</v>
      </c>
      <c r="G20" s="31">
        <f>G16+G17-G18-G19</f>
        <v>517.88295027200013</v>
      </c>
    </row>
    <row r="21" spans="2:7" ht="15" customHeight="1" x14ac:dyDescent="0.3">
      <c r="B21" s="16" t="s">
        <v>445</v>
      </c>
      <c r="C21" s="47">
        <v>1</v>
      </c>
      <c r="D21" s="47">
        <v>2</v>
      </c>
      <c r="E21" s="47">
        <v>3</v>
      </c>
      <c r="F21" s="47">
        <v>4</v>
      </c>
      <c r="G21" s="47">
        <v>5</v>
      </c>
    </row>
    <row r="22" spans="2:7" ht="15" customHeight="1" x14ac:dyDescent="0.3">
      <c r="B22" s="16" t="s">
        <v>446</v>
      </c>
      <c r="C22" s="48">
        <f>1/(1+$C$5)^C21</f>
        <v>0.88993624496741042</v>
      </c>
      <c r="D22" s="48">
        <f>1/(1+$C$5)^D21</f>
        <v>0.79198652010669479</v>
      </c>
      <c r="E22" s="48">
        <f>1/(1+$C$5)^E21</f>
        <v>0.7048175097685585</v>
      </c>
      <c r="F22" s="48">
        <f>1/(1+$C$5)^F21</f>
        <v>0.62724264803071206</v>
      </c>
      <c r="G22" s="48">
        <f>1/(1+$C$5)^G21</f>
        <v>0.55820596687186697</v>
      </c>
    </row>
    <row r="23" spans="2:7" ht="15" customHeight="1" x14ac:dyDescent="0.3">
      <c r="B23" s="12" t="s">
        <v>447</v>
      </c>
      <c r="C23" s="18">
        <f>C20*C22</f>
        <v>228.864548143771</v>
      </c>
      <c r="D23" s="18">
        <f>D20*D22</f>
        <v>254.94781045725171</v>
      </c>
      <c r="E23" s="18">
        <f>E20*E22</f>
        <v>274.96492931673117</v>
      </c>
      <c r="F23" s="18">
        <f>F20*F22</f>
        <v>286.83411482832088</v>
      </c>
      <c r="G23" s="18">
        <f>G20*G22</f>
        <v>289.08535298303684</v>
      </c>
    </row>
    <row r="26" spans="2:7" ht="15" customHeight="1" x14ac:dyDescent="0.3">
      <c r="B26" s="4" t="s">
        <v>448</v>
      </c>
      <c r="C26" s="29"/>
      <c r="D26" s="29"/>
      <c r="E26" s="29"/>
      <c r="F26" s="29"/>
      <c r="G26" s="29"/>
    </row>
    <row r="27" spans="2:7" ht="15" customHeight="1" x14ac:dyDescent="0.3">
      <c r="B27" s="16" t="s">
        <v>449</v>
      </c>
      <c r="C27" s="18">
        <f>G20*(1+C6)</f>
        <v>543.77709778560018</v>
      </c>
    </row>
    <row r="28" spans="2:7" ht="15" customHeight="1" x14ac:dyDescent="0.3">
      <c r="B28" s="12" t="s">
        <v>450</v>
      </c>
      <c r="C28" s="18">
        <f>C27/(C5-C6)</f>
        <v>7380.6544571583709</v>
      </c>
    </row>
    <row r="29" spans="2:7" ht="15" customHeight="1" x14ac:dyDescent="0.3">
      <c r="B29" s="30" t="s">
        <v>451</v>
      </c>
      <c r="C29" s="49">
        <f>C28*G22</f>
        <v>4119.9253574052427</v>
      </c>
    </row>
    <row r="32" spans="2:7" ht="15" customHeight="1" x14ac:dyDescent="0.3">
      <c r="B32" s="4" t="s">
        <v>452</v>
      </c>
      <c r="C32" s="29"/>
      <c r="D32" s="29"/>
      <c r="E32" s="29"/>
      <c r="F32" s="29"/>
      <c r="G32" s="29"/>
    </row>
    <row r="33" spans="2:9" ht="15" customHeight="1" x14ac:dyDescent="0.3">
      <c r="B33" s="16" t="s">
        <v>453</v>
      </c>
      <c r="C33" s="18">
        <f>SUM(C23:G23)</f>
        <v>1334.6967557291118</v>
      </c>
    </row>
    <row r="34" spans="2:9" ht="15" customHeight="1" x14ac:dyDescent="0.3">
      <c r="B34" s="16" t="s">
        <v>454</v>
      </c>
      <c r="C34" s="18">
        <f>C29</f>
        <v>4119.9253574052427</v>
      </c>
    </row>
    <row r="35" spans="2:9" ht="15" customHeight="1" x14ac:dyDescent="0.3">
      <c r="B35" s="50" t="s">
        <v>455</v>
      </c>
      <c r="C35" s="51">
        <f>C33+C34</f>
        <v>5454.6221131343545</v>
      </c>
    </row>
    <row r="36" spans="2:9" ht="15" customHeight="1" x14ac:dyDescent="0.3">
      <c r="B36" s="16" t="s">
        <v>456</v>
      </c>
      <c r="C36" s="46">
        <f>Assumptions!C20</f>
        <v>1160</v>
      </c>
    </row>
    <row r="37" spans="2:9" ht="15" customHeight="1" x14ac:dyDescent="0.3">
      <c r="B37" s="50" t="s">
        <v>457</v>
      </c>
      <c r="C37" s="51">
        <f>C35-C36</f>
        <v>4294.6221131343545</v>
      </c>
    </row>
    <row r="38" spans="2:9" ht="15" customHeight="1" x14ac:dyDescent="0.3">
      <c r="B38" s="50" t="s">
        <v>458</v>
      </c>
      <c r="C38" s="52">
        <f>C37/Assumptions!C18</f>
        <v>596.47529349088256</v>
      </c>
    </row>
    <row r="41" spans="2:9" ht="15" customHeight="1" x14ac:dyDescent="0.3">
      <c r="B41" s="4" t="s">
        <v>459</v>
      </c>
      <c r="C41" s="29"/>
      <c r="D41" s="29"/>
      <c r="E41" s="29"/>
      <c r="F41" s="29"/>
      <c r="G41" s="29"/>
      <c r="H41" s="29"/>
      <c r="I41" s="29"/>
    </row>
    <row r="42" spans="2:9" ht="15" customHeight="1" x14ac:dyDescent="0.3">
      <c r="B42" s="53" t="s">
        <v>460</v>
      </c>
      <c r="C42" s="54">
        <v>3.5000000000000003E-2</v>
      </c>
      <c r="D42" s="54">
        <v>0.04</v>
      </c>
      <c r="E42" s="54">
        <v>4.4999999999999998E-2</v>
      </c>
      <c r="F42" s="54">
        <v>0.05</v>
      </c>
      <c r="G42" s="54">
        <v>5.5E-2</v>
      </c>
      <c r="H42" s="54">
        <v>0.06</v>
      </c>
    </row>
    <row r="43" spans="2:9" ht="15" customHeight="1" x14ac:dyDescent="0.3">
      <c r="B43" s="54">
        <v>0.1</v>
      </c>
      <c r="C43" s="41">
        <f>((C$20/(1+$B43)^1+D$20/(1+$B43)^2+E$20/(1+$B43)^3+F$20/(1+$B43)^4+G$20/(1+$B43)^5)+(G$20*(1+C$42)/($B43-C$42))/(1+$B43)^5-Assumptions!$C$20)/Assumptions!$C$18</f>
        <v>748.21326072374893</v>
      </c>
      <c r="D43" s="41">
        <f>((C$20/(1+$B43)^1+D$20/(1+$B43)^2+E$20/(1+$B43)^3+F$20/(1+$B43)^4+G$20/(1+$B43)^5)+(G$20*(1+D$42)/($B43-D$42))/(1+$B43)^5-Assumptions!$C$20)/Assumptions!$C$18</f>
        <v>811.19777342672887</v>
      </c>
      <c r="E43" s="41">
        <f>((C$20/(1+$B43)^1+D$20/(1+$B43)^2+E$20/(1+$B43)^3+F$20/(1+$B43)^4+G$20/(1+$B43)^5)+(G$20*(1+E$42)/($B43-E$42))/(1+$B43)^5-Assumptions!$C$20)/Assumptions!$C$18</f>
        <v>885.63401571206884</v>
      </c>
      <c r="F43" s="41">
        <f>((C$20/(1+$B43)^1+D$20/(1+$B43)^2+E$20/(1+$B43)^3+F$20/(1+$B43)^4+G$20/(1+$B43)^5)+(G$20*(1+F$42)/($B43-F$42))/(1+$B43)^5-Assumptions!$C$20)/Assumptions!$C$18</f>
        <v>974.95750645447697</v>
      </c>
      <c r="G43" s="41">
        <f>((C$20/(1+$B43)^1+D$20/(1+$B43)^2+E$20/(1+$B43)^3+F$20/(1+$B43)^4+G$20/(1+$B43)^5)+(G$20*(1+G$42)/($B43-G$42))/(1+$B43)^5-Assumptions!$C$20)/Assumptions!$C$18</f>
        <v>1084.130661806309</v>
      </c>
      <c r="H43" s="41">
        <f>((C$20/(1+$B43)^1+D$20/(1+$B43)^2+E$20/(1+$B43)^3+F$20/(1+$B43)^4+G$20/(1+$B43)^5)+(G$20*(1+H$42)/($B43-H$42))/(1+$B43)^5-Assumptions!$C$20)/Assumptions!$C$18</f>
        <v>1220.5971059960989</v>
      </c>
    </row>
    <row r="44" spans="2:9" ht="15" customHeight="1" x14ac:dyDescent="0.3">
      <c r="B44" s="54">
        <v>0.11</v>
      </c>
      <c r="C44" s="41">
        <f>((C$20/(1+$B44)^1+D$20/(1+$B44)^2+E$20/(1+$B44)^3+F$20/(1+$B44)^4+G$20/(1+$B44)^5)+(G$20*(1+C$42)/($B44-C$42))/(1+$B44)^5-Assumptions!$C$20)/Assumptions!$C$18</f>
        <v>620.56219597111453</v>
      </c>
      <c r="D44" s="41">
        <f>((C$20/(1+$B44)^1+D$20/(1+$B44)^2+E$20/(1+$B44)^3+F$20/(1+$B44)^4+G$20/(1+$B44)^5)+(G$20*(1+D$42)/($B44-D$42))/(1+$B44)^5-Assumptions!$C$20)/Assumptions!$C$18</f>
        <v>665.68726744277603</v>
      </c>
      <c r="E44" s="41">
        <f>((C$20/(1+$B44)^1+D$20/(1+$B44)^2+E$20/(1+$B44)^3+F$20/(1+$B44)^4+G$20/(1+$B44)^5)+(G$20*(1+E$42)/($B44-E$42))/(1+$B44)^5-Assumptions!$C$20)/Assumptions!$C$18</f>
        <v>717.75465760238546</v>
      </c>
      <c r="F44" s="41">
        <f>((C$20/(1+$B44)^1+D$20/(1+$B44)^2+E$20/(1+$B44)^3+F$20/(1+$B44)^4+G$20/(1+$B44)^5)+(G$20*(1+F$42)/($B44-F$42))/(1+$B44)^5-Assumptions!$C$20)/Assumptions!$C$18</f>
        <v>778.49994612193007</v>
      </c>
      <c r="G44" s="41">
        <f>((C$20/(1+$B44)^1+D$20/(1+$B44)^2+E$20/(1+$B44)^3+F$20/(1+$B44)^4+G$20/(1+$B44)^5)+(G$20*(1+G$42)/($B44-G$42))/(1+$B44)^5-Assumptions!$C$20)/Assumptions!$C$18</f>
        <v>850.28983255411879</v>
      </c>
      <c r="H44" s="41">
        <f>((C$20/(1+$B44)^1+D$20/(1+$B44)^2+E$20/(1+$B44)^3+F$20/(1+$B44)^4+G$20/(1+$B44)^5)+(G$20*(1+H$42)/($B44-H$42))/(1+$B44)^5-Assumptions!$C$20)/Assumptions!$C$18</f>
        <v>936.43769627274537</v>
      </c>
    </row>
    <row r="45" spans="2:9" ht="15" customHeight="1" x14ac:dyDescent="0.3">
      <c r="B45" s="54">
        <v>0.12</v>
      </c>
      <c r="C45" s="41">
        <f>((C$20/(1+$B45)^1+D$20/(1+$B45)^2+E$20/(1+$B45)^3+F$20/(1+$B45)^4+G$20/(1+$B45)^5)+(G$20*(1+C$42)/($B45-C$42))/(1+$B45)^5-Assumptions!$C$20)/Assumptions!$C$18</f>
        <v>523.13698320673404</v>
      </c>
      <c r="D45" s="41">
        <f>((C$20/(1+$B45)^1+D$20/(1+$B45)^2+E$20/(1+$B45)^3+F$20/(1+$B45)^4+G$20/(1+$B45)^5)+(G$20*(1+D$42)/($B45-D$42))/(1+$B45)^5-Assumptions!$C$20)/Assumptions!$C$18</f>
        <v>556.74850050610962</v>
      </c>
      <c r="E45" s="41">
        <f>((C$20/(1+$B45)^1+D$20/(1+$B45)^2+E$20/(1+$B45)^3+F$20/(1+$B45)^4+G$20/(1+$B45)^5)+(G$20*(1+E$42)/($B45-E$42))/(1+$B45)^5-Assumptions!$C$20)/Assumptions!$C$18</f>
        <v>594.84155344540193</v>
      </c>
      <c r="F45" s="41">
        <f>((C$20/(1+$B45)^1+D$20/(1+$B45)^2+E$20/(1+$B45)^3+F$20/(1+$B45)^4+G$20/(1+$B45)^5)+(G$20*(1+F$42)/($B45-F$42))/(1+$B45)^5-Assumptions!$C$20)/Assumptions!$C$18</f>
        <v>638.37647109030763</v>
      </c>
      <c r="G45" s="41">
        <f>((C$20/(1+$B45)^1+D$20/(1+$B45)^2+E$20/(1+$B45)^3+F$20/(1+$B45)^4+G$20/(1+$B45)^5)+(G$20*(1+G$42)/($B45-G$42))/(1+$B45)^5-Assumptions!$C$20)/Assumptions!$C$18</f>
        <v>688.60906837289099</v>
      </c>
      <c r="H45" s="41">
        <f>((C$20/(1+$B45)^1+D$20/(1+$B45)^2+E$20/(1+$B45)^3+F$20/(1+$B45)^4+G$20/(1+$B45)^5)+(G$20*(1+H$42)/($B45-H$42))/(1+$B45)^5-Assumptions!$C$20)/Assumptions!$C$18</f>
        <v>747.21376520257161</v>
      </c>
    </row>
    <row r="46" spans="2:9" ht="15" customHeight="1" x14ac:dyDescent="0.3">
      <c r="B46" s="54">
        <v>0.13</v>
      </c>
      <c r="C46" s="41">
        <f>((C$20/(1+$B46)^1+D$20/(1+$B46)^2+E$20/(1+$B46)^3+F$20/(1+$B46)^4+G$20/(1+$B46)^5)+(G$20*(1+C$42)/($B46-C$42))/(1+$B46)^5-Assumptions!$C$20)/Assumptions!$C$18</f>
        <v>446.38504344610624</v>
      </c>
      <c r="D46" s="41">
        <f>((C$20/(1+$B46)^1+D$20/(1+$B46)^2+E$20/(1+$B46)^3+F$20/(1+$B46)^4+G$20/(1+$B46)^5)+(G$20*(1+D$42)/($B46-D$42))/(1+$B46)^5-Assumptions!$C$20)/Assumptions!$C$18</f>
        <v>472.18323319169309</v>
      </c>
      <c r="E46" s="41">
        <f>((C$20/(1+$B46)^1+D$20/(1+$B46)^2+E$20/(1+$B46)^3+F$20/(1+$B46)^4+G$20/(1+$B46)^5)+(G$20*(1+E$42)/($B46-E$42))/(1+$B46)^5-Assumptions!$C$20)/Assumptions!$C$18</f>
        <v>501.01650408381954</v>
      </c>
      <c r="F46" s="41">
        <f>((C$20/(1+$B46)^1+D$20/(1+$B46)^2+E$20/(1+$B46)^3+F$20/(1+$B46)^4+G$20/(1+$B46)^5)+(G$20*(1+F$42)/($B46-F$42))/(1+$B46)^5-Assumptions!$C$20)/Assumptions!$C$18</f>
        <v>533.45393383746193</v>
      </c>
      <c r="G46" s="41">
        <f>((C$20/(1+$B46)^1+D$20/(1+$B46)^2+E$20/(1+$B46)^3+F$20/(1+$B46)^4+G$20/(1+$B46)^5)+(G$20*(1+G$42)/($B46-G$42))/(1+$B46)^5-Assumptions!$C$20)/Assumptions!$C$18</f>
        <v>570.21635422492307</v>
      </c>
      <c r="H46" s="41">
        <f>((C$20/(1+$B46)^1+D$20/(1+$B46)^2+E$20/(1+$B46)^3+F$20/(1+$B46)^4+G$20/(1+$B46)^5)+(G$20*(1+H$42)/($B46-H$42))/(1+$B46)^5-Assumptions!$C$20)/Assumptions!$C$18</f>
        <v>612.23054895345024</v>
      </c>
    </row>
    <row r="47" spans="2:9" ht="15" customHeight="1" x14ac:dyDescent="0.3">
      <c r="B47" s="54">
        <v>0.14000000000000001</v>
      </c>
      <c r="C47" s="41">
        <f>((C$20/(1+$B47)^1+D$20/(1+$B47)^2+E$20/(1+$B47)^3+F$20/(1+$B47)^4+G$20/(1+$B47)^5)+(G$20*(1+C$42)/($B47-C$42))/(1+$B47)^5-Assumptions!$C$20)/Assumptions!$C$18</f>
        <v>384.39324690838879</v>
      </c>
      <c r="D47" s="41">
        <f>((C$20/(1+$B47)^1+D$20/(1+$B47)^2+E$20/(1+$B47)^3+F$20/(1+$B47)^4+G$20/(1+$B47)^5)+(G$20*(1+D$42)/($B47-D$42))/(1+$B47)^5-Assumptions!$C$20)/Assumptions!$C$18</f>
        <v>404.67289511224709</v>
      </c>
      <c r="E47" s="41">
        <f>((C$20/(1+$B47)^1+D$20/(1+$B47)^2+E$20/(1+$B47)^3+F$20/(1+$B47)^4+G$20/(1+$B47)^5)+(G$20*(1+E$42)/($B47-E$42))/(1+$B47)^5-Assumptions!$C$20)/Assumptions!$C$18</f>
        <v>427.08724312703782</v>
      </c>
      <c r="F47" s="41">
        <f>((C$20/(1+$B47)^1+D$20/(1+$B47)^2+E$20/(1+$B47)^3+F$20/(1+$B47)^4+G$20/(1+$B47)^5)+(G$20*(1+F$42)/($B47-F$42))/(1+$B47)^5-Assumptions!$C$20)/Assumptions!$C$18</f>
        <v>451.99207425458314</v>
      </c>
      <c r="G47" s="41">
        <f>((C$20/(1+$B47)^1+D$20/(1+$B47)^2+E$20/(1+$B47)^3+F$20/(1+$B47)^4+G$20/(1+$B47)^5)+(G$20*(1+G$42)/($B47-G$42))/(1+$B47)^5-Assumptions!$C$20)/Assumptions!$C$18</f>
        <v>479.82688551478088</v>
      </c>
      <c r="H47" s="41">
        <f>((C$20/(1+$B47)^1+D$20/(1+$B47)^2+E$20/(1+$B47)^3+F$20/(1+$B47)^4+G$20/(1+$B47)^5)+(G$20*(1+H$42)/($B47-H$42))/(1+$B47)^5-Assumptions!$C$20)/Assumptions!$C$18</f>
        <v>511.14104818250325</v>
      </c>
    </row>
    <row r="50" spans="2:5" ht="15" customHeight="1" x14ac:dyDescent="0.3">
      <c r="B50" s="4" t="s">
        <v>461</v>
      </c>
      <c r="C50" s="29"/>
      <c r="D50" s="29"/>
      <c r="E50" s="29"/>
    </row>
    <row r="51" spans="2:5" ht="15" customHeight="1" x14ac:dyDescent="0.3">
      <c r="B51" s="12" t="s">
        <v>462</v>
      </c>
      <c r="C51" s="41">
        <f>C47</f>
        <v>384.39324690838879</v>
      </c>
    </row>
    <row r="52" spans="2:5" ht="15" customHeight="1" x14ac:dyDescent="0.3">
      <c r="B52" s="12" t="s">
        <v>463</v>
      </c>
      <c r="C52" s="41">
        <f>C38</f>
        <v>596.47529349088256</v>
      </c>
    </row>
    <row r="53" spans="2:5" ht="15" customHeight="1" x14ac:dyDescent="0.3">
      <c r="B53" s="12" t="s">
        <v>464</v>
      </c>
      <c r="C53" s="41">
        <f>H43</f>
        <v>1220.5971059960989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33"/>
  <sheetViews>
    <sheetView topLeftCell="A19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10" width="13" customWidth="1"/>
  </cols>
  <sheetData>
    <row r="2" spans="2:10" ht="19.5" customHeight="1" x14ac:dyDescent="0.3">
      <c r="B2" s="9" t="s">
        <v>465</v>
      </c>
    </row>
    <row r="3" spans="2:10" ht="15" customHeight="1" x14ac:dyDescent="0.3">
      <c r="B3" s="10" t="s">
        <v>466</v>
      </c>
    </row>
    <row r="5" spans="2:10" ht="15" customHeight="1" x14ac:dyDescent="0.3">
      <c r="B5" s="11" t="s">
        <v>467</v>
      </c>
      <c r="C5" s="11" t="s">
        <v>468</v>
      </c>
      <c r="D5" s="11" t="s">
        <v>224</v>
      </c>
      <c r="E5" s="11" t="s">
        <v>469</v>
      </c>
      <c r="F5" s="11" t="s">
        <v>437</v>
      </c>
      <c r="G5" s="11" t="s">
        <v>210</v>
      </c>
      <c r="H5" s="11" t="s">
        <v>470</v>
      </c>
      <c r="I5" s="11" t="s">
        <v>279</v>
      </c>
      <c r="J5" s="11" t="s">
        <v>471</v>
      </c>
    </row>
    <row r="6" spans="2:10" ht="15" customHeight="1" x14ac:dyDescent="0.3">
      <c r="B6" s="16" t="s">
        <v>472</v>
      </c>
      <c r="C6" s="19">
        <v>15500</v>
      </c>
      <c r="D6" s="19">
        <v>45000</v>
      </c>
      <c r="E6" s="18">
        <f t="shared" ref="E6:E13" si="0">C6+D6</f>
        <v>60500</v>
      </c>
      <c r="F6" s="19">
        <v>32500</v>
      </c>
      <c r="G6" s="19">
        <v>5200</v>
      </c>
      <c r="H6" s="55">
        <f t="shared" ref="H6:H13" si="1">E6/F6</f>
        <v>1.8615384615384616</v>
      </c>
      <c r="I6" s="55">
        <f t="shared" ref="I6:I13" si="2">E6/G6</f>
        <v>11.634615384615385</v>
      </c>
      <c r="J6" s="36">
        <v>28</v>
      </c>
    </row>
    <row r="7" spans="2:10" ht="15" customHeight="1" x14ac:dyDescent="0.3">
      <c r="B7" s="16" t="s">
        <v>473</v>
      </c>
      <c r="C7" s="19">
        <v>1800</v>
      </c>
      <c r="D7" s="19">
        <v>9500</v>
      </c>
      <c r="E7" s="18">
        <f t="shared" si="0"/>
        <v>11300</v>
      </c>
      <c r="F7" s="19">
        <v>6200</v>
      </c>
      <c r="G7" s="19">
        <v>1100</v>
      </c>
      <c r="H7" s="55">
        <f t="shared" si="1"/>
        <v>1.8225806451612903</v>
      </c>
      <c r="I7" s="55">
        <f t="shared" si="2"/>
        <v>10.272727272727273</v>
      </c>
      <c r="J7" s="56" t="s">
        <v>474</v>
      </c>
    </row>
    <row r="8" spans="2:10" ht="15" customHeight="1" x14ac:dyDescent="0.3">
      <c r="B8" s="16" t="s">
        <v>475</v>
      </c>
      <c r="C8" s="19">
        <v>33500</v>
      </c>
      <c r="D8" s="19">
        <v>19500</v>
      </c>
      <c r="E8" s="18">
        <f t="shared" si="0"/>
        <v>53000</v>
      </c>
      <c r="F8" s="19">
        <v>3850</v>
      </c>
      <c r="G8" s="19">
        <v>3100</v>
      </c>
      <c r="H8" s="55">
        <f t="shared" si="1"/>
        <v>13.766233766233766</v>
      </c>
      <c r="I8" s="55">
        <f t="shared" si="2"/>
        <v>17.096774193548388</v>
      </c>
      <c r="J8" s="36">
        <v>22.5</v>
      </c>
    </row>
    <row r="9" spans="2:10" ht="15" customHeight="1" x14ac:dyDescent="0.3">
      <c r="B9" s="16" t="s">
        <v>476</v>
      </c>
      <c r="C9" s="19">
        <v>22000</v>
      </c>
      <c r="D9" s="19">
        <v>12500</v>
      </c>
      <c r="E9" s="18">
        <f t="shared" si="0"/>
        <v>34500</v>
      </c>
      <c r="F9" s="19">
        <v>2650</v>
      </c>
      <c r="G9" s="19">
        <v>2050</v>
      </c>
      <c r="H9" s="55">
        <f t="shared" si="1"/>
        <v>13.018867924528301</v>
      </c>
      <c r="I9" s="55">
        <f t="shared" si="2"/>
        <v>16.829268292682926</v>
      </c>
      <c r="J9" s="36">
        <v>20</v>
      </c>
    </row>
    <row r="10" spans="2:10" ht="15" customHeight="1" x14ac:dyDescent="0.3">
      <c r="B10" s="16" t="s">
        <v>477</v>
      </c>
      <c r="C10" s="19">
        <v>20500</v>
      </c>
      <c r="D10" s="19">
        <v>10500</v>
      </c>
      <c r="E10" s="18">
        <f t="shared" si="0"/>
        <v>31000</v>
      </c>
      <c r="F10" s="19">
        <v>2450</v>
      </c>
      <c r="G10" s="19">
        <v>1700</v>
      </c>
      <c r="H10" s="55">
        <f t="shared" si="1"/>
        <v>12.653061224489797</v>
      </c>
      <c r="I10" s="55">
        <f t="shared" si="2"/>
        <v>18.235294117647058</v>
      </c>
      <c r="J10" s="36">
        <v>24</v>
      </c>
    </row>
    <row r="11" spans="2:10" ht="15" customHeight="1" x14ac:dyDescent="0.3">
      <c r="B11" s="16" t="s">
        <v>478</v>
      </c>
      <c r="C11" s="19">
        <v>67500</v>
      </c>
      <c r="D11" s="19">
        <v>18500</v>
      </c>
      <c r="E11" s="18">
        <f t="shared" si="0"/>
        <v>86000</v>
      </c>
      <c r="F11" s="19">
        <v>11500</v>
      </c>
      <c r="G11" s="19">
        <v>3200</v>
      </c>
      <c r="H11" s="55">
        <f t="shared" si="1"/>
        <v>7.4782608695652177</v>
      </c>
      <c r="I11" s="55">
        <f t="shared" si="2"/>
        <v>26.875</v>
      </c>
      <c r="J11" s="36">
        <v>32</v>
      </c>
    </row>
    <row r="12" spans="2:10" ht="15" customHeight="1" x14ac:dyDescent="0.3">
      <c r="B12" s="16" t="s">
        <v>479</v>
      </c>
      <c r="C12" s="19">
        <v>47500</v>
      </c>
      <c r="D12" s="19">
        <v>6800</v>
      </c>
      <c r="E12" s="18">
        <f t="shared" si="0"/>
        <v>54300</v>
      </c>
      <c r="F12" s="19">
        <v>4100</v>
      </c>
      <c r="G12" s="19">
        <v>2350</v>
      </c>
      <c r="H12" s="55">
        <f t="shared" si="1"/>
        <v>13.24390243902439</v>
      </c>
      <c r="I12" s="55">
        <f t="shared" si="2"/>
        <v>23.106382978723403</v>
      </c>
      <c r="J12" s="36">
        <v>35</v>
      </c>
    </row>
    <row r="13" spans="2:10" ht="15" customHeight="1" x14ac:dyDescent="0.3">
      <c r="B13" s="16" t="s">
        <v>480</v>
      </c>
      <c r="C13" s="19">
        <v>14500</v>
      </c>
      <c r="D13" s="19">
        <v>11500</v>
      </c>
      <c r="E13" s="18">
        <f t="shared" si="0"/>
        <v>26000</v>
      </c>
      <c r="F13" s="19">
        <v>1950</v>
      </c>
      <c r="G13" s="19">
        <v>1400</v>
      </c>
      <c r="H13" s="55">
        <f t="shared" si="1"/>
        <v>13.333333333333334</v>
      </c>
      <c r="I13" s="55">
        <f t="shared" si="2"/>
        <v>18.571428571428573</v>
      </c>
      <c r="J13" s="36">
        <v>21</v>
      </c>
    </row>
    <row r="15" spans="2:10" ht="15" customHeight="1" x14ac:dyDescent="0.3">
      <c r="B15" s="30" t="s">
        <v>481</v>
      </c>
      <c r="H15" s="57">
        <f>MIN(H6:H13)</f>
        <v>1.8225806451612903</v>
      </c>
      <c r="I15" s="57">
        <f>MIN(I6:I13)</f>
        <v>10.272727272727273</v>
      </c>
    </row>
    <row r="16" spans="2:10" ht="15" customHeight="1" x14ac:dyDescent="0.3">
      <c r="B16" s="30" t="s">
        <v>482</v>
      </c>
      <c r="H16" s="57">
        <f>PERCENTILE(H6:H13,0.25)</f>
        <v>6.0740802675585286</v>
      </c>
      <c r="I16" s="57">
        <f>PERCENTILE(I6:I13,0.25)</f>
        <v>15.530605065666041</v>
      </c>
    </row>
    <row r="17" spans="2:9" ht="15" customHeight="1" x14ac:dyDescent="0.3">
      <c r="B17" s="30" t="s">
        <v>483</v>
      </c>
      <c r="H17" s="57">
        <f>MEDIAN(H6:H13)</f>
        <v>12.835964574509049</v>
      </c>
      <c r="I17" s="57">
        <f>MEDIAN(I6:I13)</f>
        <v>17.666034155597721</v>
      </c>
    </row>
    <row r="18" spans="2:9" ht="15" customHeight="1" x14ac:dyDescent="0.3">
      <c r="B18" s="30" t="s">
        <v>484</v>
      </c>
      <c r="H18" s="57">
        <f>AVERAGE(H6:H13)</f>
        <v>9.6472223329843203</v>
      </c>
      <c r="I18" s="57">
        <f>AVERAGE(I6:I13)</f>
        <v>17.827686351421626</v>
      </c>
    </row>
    <row r="19" spans="2:9" ht="15" customHeight="1" x14ac:dyDescent="0.3">
      <c r="B19" s="30" t="s">
        <v>485</v>
      </c>
      <c r="H19" s="57">
        <f>PERCENTILE(H6:H13,0.75)</f>
        <v>13.266260162601625</v>
      </c>
      <c r="I19" s="57">
        <f>PERCENTILE(I6:I13,0.75)</f>
        <v>19.705167173252281</v>
      </c>
    </row>
    <row r="20" spans="2:9" ht="15" customHeight="1" x14ac:dyDescent="0.3">
      <c r="B20" s="30" t="s">
        <v>486</v>
      </c>
      <c r="H20" s="57">
        <f>MAX(H6:H13)</f>
        <v>13.766233766233766</v>
      </c>
      <c r="I20" s="57">
        <f>MAX(I6:I13)</f>
        <v>26.875</v>
      </c>
    </row>
    <row r="23" spans="2:9" ht="15" customHeight="1" x14ac:dyDescent="0.3">
      <c r="B23" s="4" t="s">
        <v>487</v>
      </c>
      <c r="C23" s="29"/>
      <c r="D23" s="29"/>
      <c r="E23" s="29"/>
      <c r="F23" s="29"/>
      <c r="G23" s="29"/>
      <c r="H23" s="29"/>
      <c r="I23" s="29"/>
    </row>
    <row r="24" spans="2:9" ht="15" customHeight="1" x14ac:dyDescent="0.3">
      <c r="B24" s="12" t="s">
        <v>488</v>
      </c>
      <c r="C24" s="46">
        <f>Target_Financials!F9</f>
        <v>510</v>
      </c>
    </row>
    <row r="25" spans="2:9" ht="15" customHeight="1" x14ac:dyDescent="0.3">
      <c r="B25" s="12" t="s">
        <v>489</v>
      </c>
      <c r="C25" s="46">
        <f>Assumptions!C20</f>
        <v>1160</v>
      </c>
    </row>
    <row r="26" spans="2:9" ht="15" customHeight="1" x14ac:dyDescent="0.3">
      <c r="B26" s="12" t="s">
        <v>490</v>
      </c>
      <c r="C26" s="58">
        <f>Assumptions!C18</f>
        <v>7.2</v>
      </c>
    </row>
    <row r="28" spans="2:9" ht="15" customHeight="1" x14ac:dyDescent="0.3">
      <c r="B28" s="11" t="s">
        <v>187</v>
      </c>
      <c r="C28" s="11" t="s">
        <v>491</v>
      </c>
      <c r="D28" s="11" t="s">
        <v>492</v>
      </c>
      <c r="E28" s="11" t="s">
        <v>493</v>
      </c>
      <c r="F28" s="11" t="s">
        <v>494</v>
      </c>
    </row>
    <row r="29" spans="2:9" ht="15" customHeight="1" x14ac:dyDescent="0.3">
      <c r="B29" s="12" t="s">
        <v>495</v>
      </c>
      <c r="C29" s="55">
        <f>I16</f>
        <v>15.530605065666041</v>
      </c>
      <c r="D29" s="18">
        <f>C29*C24</f>
        <v>7920.6085834896812</v>
      </c>
      <c r="E29" s="18">
        <f>D29-C25</f>
        <v>6760.6085834896812</v>
      </c>
      <c r="F29" s="41">
        <f>E29/C26</f>
        <v>938.97341437356681</v>
      </c>
    </row>
    <row r="30" spans="2:9" ht="15" customHeight="1" x14ac:dyDescent="0.3">
      <c r="B30" s="12" t="s">
        <v>496</v>
      </c>
      <c r="C30" s="55">
        <f>I17</f>
        <v>17.666034155597721</v>
      </c>
      <c r="D30" s="18">
        <f>C30*C24</f>
        <v>9009.6774193548372</v>
      </c>
      <c r="E30" s="18">
        <f>D30-C25</f>
        <v>7849.6774193548372</v>
      </c>
      <c r="F30" s="41">
        <f>E30/C26</f>
        <v>1090.232974910394</v>
      </c>
    </row>
    <row r="31" spans="2:9" ht="15" customHeight="1" x14ac:dyDescent="0.3">
      <c r="B31" s="12" t="s">
        <v>497</v>
      </c>
      <c r="C31" s="55">
        <f>I19</f>
        <v>19.705167173252281</v>
      </c>
      <c r="D31" s="18">
        <f>C31*C24</f>
        <v>10049.635258358663</v>
      </c>
      <c r="E31" s="18">
        <f>D31-C25</f>
        <v>8889.6352583586631</v>
      </c>
      <c r="F31" s="41">
        <f>E31/C26</f>
        <v>1234.6715636609254</v>
      </c>
    </row>
    <row r="33" spans="2:2" ht="15" customHeight="1" x14ac:dyDescent="0.3">
      <c r="B33" s="1" t="s">
        <v>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33"/>
  <sheetViews>
    <sheetView tabSelected="1" zoomScaleNormal="100" workbookViewId="0">
      <selection activeCell="L11" sqref="L11"/>
    </sheetView>
  </sheetViews>
  <sheetFormatPr defaultColWidth="8.6640625" defaultRowHeight="14.4" x14ac:dyDescent="0.3"/>
  <cols>
    <col min="1" max="1" width="2" customWidth="1"/>
    <col min="2" max="2" width="26" customWidth="1"/>
    <col min="3" max="3" width="22" customWidth="1"/>
    <col min="4" max="9" width="12" customWidth="1"/>
  </cols>
  <sheetData>
    <row r="2" spans="2:9" ht="19.5" customHeight="1" x14ac:dyDescent="0.3">
      <c r="B2" s="9" t="s">
        <v>499</v>
      </c>
    </row>
    <row r="3" spans="2:9" ht="15" customHeight="1" x14ac:dyDescent="0.3">
      <c r="B3" s="10" t="s">
        <v>500</v>
      </c>
    </row>
    <row r="5" spans="2:9" ht="15" customHeight="1" x14ac:dyDescent="0.3">
      <c r="B5" s="11" t="s">
        <v>12</v>
      </c>
      <c r="C5" s="11" t="s">
        <v>10</v>
      </c>
      <c r="D5" s="11" t="s">
        <v>501</v>
      </c>
      <c r="E5" s="11" t="s">
        <v>502</v>
      </c>
      <c r="F5" s="11" t="s">
        <v>503</v>
      </c>
      <c r="G5" s="11" t="s">
        <v>504</v>
      </c>
      <c r="H5" s="11" t="s">
        <v>470</v>
      </c>
      <c r="I5" s="11" t="s">
        <v>279</v>
      </c>
    </row>
    <row r="6" spans="2:9" ht="15" customHeight="1" x14ac:dyDescent="0.3">
      <c r="B6" s="16" t="s">
        <v>505</v>
      </c>
      <c r="C6" s="16" t="s">
        <v>506</v>
      </c>
      <c r="D6" s="59">
        <v>2024</v>
      </c>
      <c r="E6" s="19">
        <v>3200</v>
      </c>
      <c r="F6" s="19">
        <v>800</v>
      </c>
      <c r="G6" s="19">
        <v>220</v>
      </c>
      <c r="H6" s="55">
        <f t="shared" ref="H6:H13" si="0">E6/F6</f>
        <v>4</v>
      </c>
      <c r="I6" s="55">
        <f t="shared" ref="I6:I13" si="1">E6/G6</f>
        <v>14.545454545454545</v>
      </c>
    </row>
    <row r="7" spans="2:9" ht="15" customHeight="1" x14ac:dyDescent="0.3">
      <c r="B7" s="16" t="s">
        <v>507</v>
      </c>
      <c r="C7" s="16" t="s">
        <v>508</v>
      </c>
      <c r="D7" s="59">
        <v>2023</v>
      </c>
      <c r="E7" s="19">
        <v>2800</v>
      </c>
      <c r="F7" s="19">
        <v>650</v>
      </c>
      <c r="G7" s="19">
        <v>180</v>
      </c>
      <c r="H7" s="55">
        <f t="shared" si="0"/>
        <v>4.3076923076923075</v>
      </c>
      <c r="I7" s="55">
        <f t="shared" si="1"/>
        <v>15.555555555555555</v>
      </c>
    </row>
    <row r="8" spans="2:9" ht="15" customHeight="1" x14ac:dyDescent="0.3">
      <c r="B8" s="16" t="s">
        <v>509</v>
      </c>
      <c r="C8" s="16" t="s">
        <v>510</v>
      </c>
      <c r="D8" s="59">
        <v>2024</v>
      </c>
      <c r="E8" s="19">
        <v>4500</v>
      </c>
      <c r="F8" s="19">
        <v>1650</v>
      </c>
      <c r="G8" s="19">
        <v>450</v>
      </c>
      <c r="H8" s="55">
        <f t="shared" si="0"/>
        <v>2.7272727272727271</v>
      </c>
      <c r="I8" s="55">
        <f t="shared" si="1"/>
        <v>10</v>
      </c>
    </row>
    <row r="9" spans="2:9" ht="15" customHeight="1" x14ac:dyDescent="0.3">
      <c r="B9" s="16" t="s">
        <v>511</v>
      </c>
      <c r="C9" s="16" t="s">
        <v>512</v>
      </c>
      <c r="D9" s="59">
        <v>2023</v>
      </c>
      <c r="E9" s="19">
        <v>1800</v>
      </c>
      <c r="F9" s="19">
        <v>480</v>
      </c>
      <c r="G9" s="19">
        <v>130</v>
      </c>
      <c r="H9" s="55">
        <f t="shared" si="0"/>
        <v>3.75</v>
      </c>
      <c r="I9" s="55">
        <f t="shared" si="1"/>
        <v>13.846153846153847</v>
      </c>
    </row>
    <row r="10" spans="2:9" ht="15" customHeight="1" x14ac:dyDescent="0.3">
      <c r="B10" s="16" t="s">
        <v>513</v>
      </c>
      <c r="C10" s="16" t="s">
        <v>514</v>
      </c>
      <c r="D10" s="59">
        <v>2022</v>
      </c>
      <c r="E10" s="19">
        <v>900</v>
      </c>
      <c r="F10" s="19">
        <v>260</v>
      </c>
      <c r="G10" s="19">
        <v>65</v>
      </c>
      <c r="H10" s="55">
        <f t="shared" si="0"/>
        <v>3.4615384615384617</v>
      </c>
      <c r="I10" s="55">
        <f t="shared" si="1"/>
        <v>13.846153846153847</v>
      </c>
    </row>
    <row r="11" spans="2:9" ht="15" customHeight="1" x14ac:dyDescent="0.3">
      <c r="B11" s="16" t="s">
        <v>515</v>
      </c>
      <c r="C11" s="16" t="s">
        <v>516</v>
      </c>
      <c r="D11" s="59">
        <v>2024</v>
      </c>
      <c r="E11" s="19">
        <v>6500</v>
      </c>
      <c r="F11" s="19">
        <v>1800</v>
      </c>
      <c r="G11" s="19">
        <v>480</v>
      </c>
      <c r="H11" s="55">
        <f t="shared" si="0"/>
        <v>3.6111111111111112</v>
      </c>
      <c r="I11" s="55">
        <f t="shared" si="1"/>
        <v>13.541666666666666</v>
      </c>
    </row>
    <row r="12" spans="2:9" ht="15" customHeight="1" x14ac:dyDescent="0.3">
      <c r="B12" s="16" t="s">
        <v>517</v>
      </c>
      <c r="C12" s="16" t="s">
        <v>518</v>
      </c>
      <c r="D12" s="59">
        <v>2023</v>
      </c>
      <c r="E12" s="19">
        <v>2100</v>
      </c>
      <c r="F12" s="19">
        <v>540</v>
      </c>
      <c r="G12" s="19">
        <v>155</v>
      </c>
      <c r="H12" s="55">
        <f t="shared" si="0"/>
        <v>3.8888888888888888</v>
      </c>
      <c r="I12" s="55">
        <f t="shared" si="1"/>
        <v>13.548387096774194</v>
      </c>
    </row>
    <row r="13" spans="2:9" ht="15" customHeight="1" x14ac:dyDescent="0.3">
      <c r="B13" s="16" t="s">
        <v>519</v>
      </c>
      <c r="C13" s="16" t="s">
        <v>520</v>
      </c>
      <c r="D13" s="59">
        <v>2022</v>
      </c>
      <c r="E13" s="19">
        <v>1400</v>
      </c>
      <c r="F13" s="19">
        <v>380</v>
      </c>
      <c r="G13" s="19">
        <v>110</v>
      </c>
      <c r="H13" s="55">
        <f t="shared" si="0"/>
        <v>3.6842105263157894</v>
      </c>
      <c r="I13" s="55">
        <f t="shared" si="1"/>
        <v>12.727272727272727</v>
      </c>
    </row>
    <row r="15" spans="2:9" ht="15" customHeight="1" x14ac:dyDescent="0.3">
      <c r="B15" s="30" t="s">
        <v>481</v>
      </c>
      <c r="H15" s="57">
        <f>MIN(H6:H13)</f>
        <v>2.7272727272727271</v>
      </c>
      <c r="I15" s="57">
        <f>MIN(I6:I13)</f>
        <v>10</v>
      </c>
    </row>
    <row r="16" spans="2:9" ht="15" customHeight="1" x14ac:dyDescent="0.3">
      <c r="B16" s="30" t="s">
        <v>482</v>
      </c>
      <c r="H16" s="57">
        <f>PERCENTILE(H6:H13,0.25)</f>
        <v>3.5737179487179489</v>
      </c>
      <c r="I16" s="57">
        <f>PERCENTILE(I6:I13,0.25)</f>
        <v>13.338068181818182</v>
      </c>
    </row>
    <row r="17" spans="2:9" ht="15" customHeight="1" x14ac:dyDescent="0.3">
      <c r="B17" s="30" t="s">
        <v>483</v>
      </c>
      <c r="H17" s="57">
        <f>MEDIAN(H6:H13)</f>
        <v>3.7171052631578947</v>
      </c>
      <c r="I17" s="57">
        <f>MEDIAN(I6:I13)</f>
        <v>13.697270471464019</v>
      </c>
    </row>
    <row r="18" spans="2:9" ht="15" customHeight="1" x14ac:dyDescent="0.3">
      <c r="B18" s="30" t="s">
        <v>484</v>
      </c>
      <c r="H18" s="57">
        <f>AVERAGE(H6:H13)</f>
        <v>3.6788392528524101</v>
      </c>
      <c r="I18" s="57">
        <f>AVERAGE(I6:I13)</f>
        <v>13.451330535503924</v>
      </c>
    </row>
    <row r="19" spans="2:9" ht="15" customHeight="1" x14ac:dyDescent="0.3">
      <c r="B19" s="30" t="s">
        <v>485</v>
      </c>
      <c r="H19" s="57">
        <f>PERCENTILE(H6:H13,0.75)</f>
        <v>3.9166666666666665</v>
      </c>
      <c r="I19" s="57">
        <f>PERCENTILE(I6:I13,0.75)</f>
        <v>14.020979020979022</v>
      </c>
    </row>
    <row r="20" spans="2:9" ht="15" customHeight="1" x14ac:dyDescent="0.3">
      <c r="B20" s="30" t="s">
        <v>486</v>
      </c>
      <c r="H20" s="57">
        <f>MAX(H6:H13)</f>
        <v>4.3076923076923075</v>
      </c>
      <c r="I20" s="57">
        <f>MAX(I6:I13)</f>
        <v>15.555555555555555</v>
      </c>
    </row>
    <row r="23" spans="2:9" ht="15" customHeight="1" x14ac:dyDescent="0.3">
      <c r="B23" s="4" t="s">
        <v>487</v>
      </c>
      <c r="C23" s="29"/>
      <c r="D23" s="29"/>
      <c r="E23" s="29"/>
      <c r="F23" s="29"/>
      <c r="G23" s="29"/>
      <c r="H23" s="29"/>
      <c r="I23" s="29"/>
    </row>
    <row r="24" spans="2:9" ht="15" customHeight="1" x14ac:dyDescent="0.3">
      <c r="B24" s="12" t="s">
        <v>488</v>
      </c>
      <c r="C24" s="46">
        <f>Target_Financials!F9</f>
        <v>510</v>
      </c>
    </row>
    <row r="25" spans="2:9" ht="15" customHeight="1" x14ac:dyDescent="0.3">
      <c r="B25" s="12" t="s">
        <v>489</v>
      </c>
      <c r="C25" s="46">
        <f>Assumptions!C20</f>
        <v>1160</v>
      </c>
    </row>
    <row r="26" spans="2:9" ht="15" customHeight="1" x14ac:dyDescent="0.3">
      <c r="B26" s="12" t="s">
        <v>490</v>
      </c>
      <c r="C26" s="58">
        <f>Assumptions!C18</f>
        <v>7.2</v>
      </c>
    </row>
    <row r="28" spans="2:9" ht="15" customHeight="1" x14ac:dyDescent="0.3">
      <c r="B28" s="11" t="s">
        <v>187</v>
      </c>
      <c r="C28" s="11" t="s">
        <v>491</v>
      </c>
      <c r="D28" s="11" t="s">
        <v>492</v>
      </c>
      <c r="E28" s="11" t="s">
        <v>493</v>
      </c>
      <c r="F28" s="11" t="s">
        <v>494</v>
      </c>
    </row>
    <row r="29" spans="2:9" ht="15" customHeight="1" x14ac:dyDescent="0.3">
      <c r="B29" s="12" t="s">
        <v>495</v>
      </c>
      <c r="C29" s="55">
        <f>I16</f>
        <v>13.338068181818182</v>
      </c>
      <c r="D29" s="18">
        <f>C29*C24</f>
        <v>6802.414772727273</v>
      </c>
      <c r="E29" s="18">
        <f>D29-C25</f>
        <v>5642.414772727273</v>
      </c>
      <c r="F29" s="41">
        <f>E29/C26</f>
        <v>783.66871843434342</v>
      </c>
    </row>
    <row r="30" spans="2:9" ht="15" customHeight="1" x14ac:dyDescent="0.3">
      <c r="B30" s="12" t="s">
        <v>496</v>
      </c>
      <c r="C30" s="55">
        <f>I17</f>
        <v>13.697270471464019</v>
      </c>
      <c r="D30" s="18">
        <f>C30*C24</f>
        <v>6985.60794044665</v>
      </c>
      <c r="E30" s="18">
        <f>D30-C25</f>
        <v>5825.60794044665</v>
      </c>
      <c r="F30" s="41">
        <f>E30/C26</f>
        <v>809.11221395092355</v>
      </c>
    </row>
    <row r="31" spans="2:9" ht="15" customHeight="1" x14ac:dyDescent="0.3">
      <c r="B31" s="12" t="s">
        <v>497</v>
      </c>
      <c r="C31" s="55">
        <f>I19</f>
        <v>14.020979020979022</v>
      </c>
      <c r="D31" s="18">
        <f>C31*C24</f>
        <v>7150.6993006993007</v>
      </c>
      <c r="E31" s="18">
        <f>D31-C25</f>
        <v>5990.6993006993007</v>
      </c>
      <c r="F31" s="41">
        <f>E31/C26</f>
        <v>832.04156954156952</v>
      </c>
    </row>
    <row r="33" spans="2:2" ht="15" customHeight="1" x14ac:dyDescent="0.3">
      <c r="B33" s="1" t="s">
        <v>521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46"/>
  <sheetViews>
    <sheetView zoomScaleNormal="100" workbookViewId="0">
      <selection activeCell="I11" sqref="I11"/>
    </sheetView>
  </sheetViews>
  <sheetFormatPr defaultColWidth="8.6640625" defaultRowHeight="14.4" x14ac:dyDescent="0.3"/>
  <cols>
    <col min="1" max="1" width="2" customWidth="1"/>
    <col min="2" max="2" width="32" customWidth="1"/>
    <col min="3" max="8" width="15" customWidth="1"/>
  </cols>
  <sheetData>
    <row r="2" spans="2:6" ht="19.5" customHeight="1" x14ac:dyDescent="0.3">
      <c r="B2" s="9" t="s">
        <v>522</v>
      </c>
    </row>
    <row r="3" spans="2:6" ht="15" customHeight="1" x14ac:dyDescent="0.3">
      <c r="B3" s="10" t="s">
        <v>523</v>
      </c>
    </row>
    <row r="5" spans="2:6" ht="15" customHeight="1" x14ac:dyDescent="0.3">
      <c r="B5" s="11" t="s">
        <v>524</v>
      </c>
      <c r="C5" s="11" t="s">
        <v>311</v>
      </c>
      <c r="D5" s="11" t="s">
        <v>310</v>
      </c>
      <c r="E5" s="11" t="s">
        <v>525</v>
      </c>
      <c r="F5" s="11" t="s">
        <v>526</v>
      </c>
    </row>
    <row r="6" spans="2:6" ht="15" customHeight="1" x14ac:dyDescent="0.3">
      <c r="B6" s="12" t="s">
        <v>527</v>
      </c>
      <c r="C6" s="60">
        <f>Assumptions!C23</f>
        <v>320.7</v>
      </c>
      <c r="D6" s="60">
        <f>Assumptions!C22</f>
        <v>718.95</v>
      </c>
      <c r="E6" s="41">
        <f>D6-C6</f>
        <v>398.25000000000006</v>
      </c>
      <c r="F6" s="41">
        <f>(C6+D6)/2</f>
        <v>519.82500000000005</v>
      </c>
    </row>
    <row r="7" spans="2:6" ht="15" customHeight="1" x14ac:dyDescent="0.3">
      <c r="B7" s="12" t="s">
        <v>528</v>
      </c>
      <c r="C7" s="60">
        <f>DCF!C51</f>
        <v>384.39324690838879</v>
      </c>
      <c r="D7" s="60">
        <f>DCF!C53</f>
        <v>1220.5971059960989</v>
      </c>
      <c r="E7" s="41">
        <f>D7-C7</f>
        <v>836.20385908771004</v>
      </c>
      <c r="F7" s="41">
        <f>(C7+D7)/2</f>
        <v>802.49517645224387</v>
      </c>
    </row>
    <row r="8" spans="2:6" ht="15" customHeight="1" x14ac:dyDescent="0.3">
      <c r="B8" s="12" t="s">
        <v>529</v>
      </c>
      <c r="C8" s="60">
        <f>Trading_Comps!F29</f>
        <v>938.97341437356681</v>
      </c>
      <c r="D8" s="60">
        <f>Trading_Comps!F31</f>
        <v>1234.6715636609254</v>
      </c>
      <c r="E8" s="41">
        <f>D8-C8</f>
        <v>295.69814928735855</v>
      </c>
      <c r="F8" s="41">
        <f>(C8+D8)/2</f>
        <v>1086.822489017246</v>
      </c>
    </row>
    <row r="9" spans="2:6" ht="15" customHeight="1" x14ac:dyDescent="0.3">
      <c r="B9" s="12" t="s">
        <v>530</v>
      </c>
      <c r="C9" s="60">
        <f>Precedent_Transactions!F29</f>
        <v>783.66871843434342</v>
      </c>
      <c r="D9" s="60">
        <f>Precedent_Transactions!F31</f>
        <v>832.04156954156952</v>
      </c>
      <c r="E9" s="41">
        <f>D9-C9</f>
        <v>48.372851107226097</v>
      </c>
      <c r="F9" s="41">
        <f>(C9+D9)/2</f>
        <v>807.85514398795647</v>
      </c>
    </row>
    <row r="10" spans="2:6" ht="15" customHeight="1" x14ac:dyDescent="0.3">
      <c r="B10" s="12" t="s">
        <v>531</v>
      </c>
      <c r="C10" s="60">
        <f>Assumptions!C17</f>
        <v>331.05</v>
      </c>
      <c r="D10" s="60">
        <f>Assumptions!C17</f>
        <v>331.05</v>
      </c>
      <c r="E10" s="41">
        <f>D10-C10</f>
        <v>0</v>
      </c>
      <c r="F10" s="41">
        <f>(C10+D10)/2</f>
        <v>331.05</v>
      </c>
    </row>
    <row r="12" spans="2:6" ht="15" customHeight="1" x14ac:dyDescent="0.3">
      <c r="B12" s="61" t="s">
        <v>532</v>
      </c>
      <c r="C12" s="62">
        <f>Assumptions!C51</f>
        <v>475</v>
      </c>
      <c r="D12" s="62">
        <f>Assumptions!C51</f>
        <v>475</v>
      </c>
      <c r="E12" s="63">
        <f>D12-C12</f>
        <v>0</v>
      </c>
      <c r="F12" s="63">
        <f>C12</f>
        <v>475</v>
      </c>
    </row>
    <row r="14" spans="2:6" ht="15" customHeight="1" x14ac:dyDescent="0.3">
      <c r="B14" s="2" t="s">
        <v>533</v>
      </c>
      <c r="C14" s="64">
        <f>C12/Assumptions!C17-1</f>
        <v>0.43482857574384526</v>
      </c>
    </row>
    <row r="40" spans="2:8" ht="15" customHeight="1" x14ac:dyDescent="0.3">
      <c r="B40" s="4" t="s">
        <v>534</v>
      </c>
      <c r="C40" s="29"/>
      <c r="D40" s="29"/>
      <c r="E40" s="29"/>
      <c r="F40" s="29"/>
      <c r="G40" s="29"/>
    </row>
    <row r="41" spans="2:8" ht="15" customHeight="1" x14ac:dyDescent="0.3">
      <c r="B41" s="86" t="s">
        <v>535</v>
      </c>
      <c r="C41" s="86"/>
      <c r="D41" s="86"/>
      <c r="E41" s="86"/>
      <c r="F41" s="86"/>
      <c r="G41" s="86"/>
      <c r="H41" s="86"/>
    </row>
    <row r="42" spans="2:8" ht="15" customHeight="1" x14ac:dyDescent="0.3">
      <c r="B42" s="86" t="s">
        <v>536</v>
      </c>
      <c r="C42" s="86"/>
      <c r="D42" s="86"/>
      <c r="E42" s="86"/>
      <c r="F42" s="86"/>
      <c r="G42" s="86"/>
      <c r="H42" s="86"/>
    </row>
    <row r="43" spans="2:8" ht="15" customHeight="1" x14ac:dyDescent="0.3">
      <c r="B43" s="86" t="s">
        <v>537</v>
      </c>
      <c r="C43" s="86"/>
      <c r="D43" s="86"/>
      <c r="E43" s="86"/>
      <c r="F43" s="86"/>
      <c r="G43" s="86"/>
      <c r="H43" s="86"/>
    </row>
    <row r="44" spans="2:8" ht="15" customHeight="1" x14ac:dyDescent="0.3">
      <c r="B44" s="86" t="s">
        <v>538</v>
      </c>
      <c r="C44" s="86"/>
      <c r="D44" s="86"/>
      <c r="E44" s="86"/>
      <c r="F44" s="86"/>
      <c r="G44" s="86"/>
      <c r="H44" s="86"/>
    </row>
    <row r="45" spans="2:8" ht="15" customHeight="1" x14ac:dyDescent="0.3">
      <c r="B45" s="86" t="s">
        <v>539</v>
      </c>
      <c r="C45" s="86"/>
      <c r="D45" s="86"/>
      <c r="E45" s="86"/>
      <c r="F45" s="86"/>
      <c r="G45" s="86"/>
      <c r="H45" s="86"/>
    </row>
    <row r="46" spans="2:8" ht="15" customHeight="1" x14ac:dyDescent="0.3">
      <c r="B46" s="86" t="s">
        <v>540</v>
      </c>
      <c r="C46" s="86"/>
      <c r="D46" s="86"/>
      <c r="E46" s="86"/>
      <c r="F46" s="86"/>
      <c r="G46" s="86"/>
      <c r="H46" s="86"/>
    </row>
  </sheetData>
  <mergeCells count="6">
    <mergeCell ref="B46:H46"/>
    <mergeCell ref="B41:H41"/>
    <mergeCell ref="B42:H42"/>
    <mergeCell ref="B43:H43"/>
    <mergeCell ref="B44:H44"/>
    <mergeCell ref="B45:H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77"/>
  <sheetViews>
    <sheetView topLeftCell="A67" zoomScaleNormal="100" workbookViewId="0"/>
  </sheetViews>
  <sheetFormatPr defaultColWidth="8.6640625" defaultRowHeight="14.4" x14ac:dyDescent="0.3"/>
  <cols>
    <col min="1" max="1" width="2" customWidth="1"/>
    <col min="2" max="2" width="38" customWidth="1"/>
    <col min="3" max="8" width="13" customWidth="1"/>
  </cols>
  <sheetData>
    <row r="2" spans="2:8" ht="19.5" customHeight="1" x14ac:dyDescent="0.3">
      <c r="B2" s="9" t="s">
        <v>541</v>
      </c>
    </row>
    <row r="3" spans="2:8" ht="15" customHeight="1" x14ac:dyDescent="0.3">
      <c r="B3" s="10" t="s">
        <v>542</v>
      </c>
    </row>
    <row r="5" spans="2:8" ht="15" customHeight="1" x14ac:dyDescent="0.3">
      <c r="B5" s="4" t="s">
        <v>543</v>
      </c>
      <c r="C5" s="29"/>
      <c r="D5" s="29"/>
      <c r="E5" s="29"/>
      <c r="F5" s="29"/>
      <c r="G5" s="29"/>
      <c r="H5" s="29"/>
    </row>
    <row r="6" spans="2:8" ht="15" customHeight="1" x14ac:dyDescent="0.3">
      <c r="B6" s="16" t="s">
        <v>544</v>
      </c>
      <c r="C6" s="60">
        <f>Assumptions!C51</f>
        <v>475</v>
      </c>
    </row>
    <row r="7" spans="2:8" ht="15" customHeight="1" x14ac:dyDescent="0.3">
      <c r="B7" s="16" t="s">
        <v>490</v>
      </c>
      <c r="C7" s="58">
        <f>Assumptions!C18</f>
        <v>7.2</v>
      </c>
    </row>
    <row r="8" spans="2:8" ht="15" customHeight="1" x14ac:dyDescent="0.3">
      <c r="B8" s="16" t="s">
        <v>545</v>
      </c>
      <c r="C8" s="46">
        <f>Assumptions!C53</f>
        <v>3420</v>
      </c>
    </row>
    <row r="9" spans="2:8" ht="15" customHeight="1" x14ac:dyDescent="0.3">
      <c r="B9" s="16" t="s">
        <v>546</v>
      </c>
      <c r="C9" s="46">
        <f>Assumptions!C54</f>
        <v>1160</v>
      </c>
    </row>
    <row r="10" spans="2:8" ht="15" customHeight="1" x14ac:dyDescent="0.3">
      <c r="B10" s="16" t="s">
        <v>547</v>
      </c>
      <c r="C10" s="46">
        <f>Assumptions!C55</f>
        <v>4580</v>
      </c>
    </row>
    <row r="11" spans="2:8" ht="15" customHeight="1" x14ac:dyDescent="0.3">
      <c r="B11" s="16" t="s">
        <v>548</v>
      </c>
      <c r="C11" s="60">
        <f>Assumptions!C7</f>
        <v>568.25</v>
      </c>
    </row>
    <row r="12" spans="2:8" ht="15" customHeight="1" x14ac:dyDescent="0.3">
      <c r="B12" s="16" t="s">
        <v>549</v>
      </c>
      <c r="C12" s="58">
        <f>Assumptions!C8</f>
        <v>247.5</v>
      </c>
    </row>
    <row r="13" spans="2:8" ht="15" customHeight="1" x14ac:dyDescent="0.3">
      <c r="B13" s="16" t="s">
        <v>550</v>
      </c>
      <c r="C13" s="34">
        <f>Assumptions!C61</f>
        <v>8.7499999999999994E-2</v>
      </c>
    </row>
    <row r="14" spans="2:8" ht="15" customHeight="1" x14ac:dyDescent="0.3">
      <c r="B14" s="16" t="s">
        <v>551</v>
      </c>
      <c r="C14" s="25">
        <v>0.06</v>
      </c>
    </row>
    <row r="15" spans="2:8" ht="15" customHeight="1" x14ac:dyDescent="0.3">
      <c r="B15" s="16" t="s">
        <v>552</v>
      </c>
      <c r="C15" s="34">
        <f>Assumptions!C62</f>
        <v>0.252</v>
      </c>
    </row>
    <row r="17" spans="2:8" ht="15" customHeight="1" x14ac:dyDescent="0.3">
      <c r="B17" s="4" t="s">
        <v>553</v>
      </c>
      <c r="C17" s="29"/>
      <c r="D17" s="29"/>
      <c r="E17" s="29"/>
      <c r="F17" s="29"/>
      <c r="G17" s="29"/>
      <c r="H17" s="29"/>
    </row>
    <row r="18" spans="2:8" ht="15" customHeight="1" x14ac:dyDescent="0.3">
      <c r="B18" s="11" t="s">
        <v>554</v>
      </c>
      <c r="C18" s="11" t="s">
        <v>555</v>
      </c>
      <c r="D18" s="11" t="s">
        <v>556</v>
      </c>
      <c r="E18" s="11" t="s">
        <v>557</v>
      </c>
    </row>
    <row r="19" spans="2:8" ht="15" customHeight="1" x14ac:dyDescent="0.3">
      <c r="B19" s="12" t="s">
        <v>558</v>
      </c>
      <c r="C19" s="46">
        <f>Acquirer_Financials!G7</f>
        <v>12960</v>
      </c>
      <c r="D19" s="46">
        <f>Target_Financials!G7</f>
        <v>1920</v>
      </c>
      <c r="E19" s="18">
        <f>C19+D19</f>
        <v>14880</v>
      </c>
    </row>
    <row r="20" spans="2:8" ht="15" customHeight="1" x14ac:dyDescent="0.3">
      <c r="B20" s="12" t="s">
        <v>559</v>
      </c>
      <c r="C20" s="46">
        <f>Acquirer_Financials!G9</f>
        <v>5313</v>
      </c>
      <c r="D20" s="46">
        <f>Target_Financials!G9</f>
        <v>653</v>
      </c>
      <c r="E20" s="18">
        <f>C20+D20</f>
        <v>5966</v>
      </c>
    </row>
    <row r="21" spans="2:8" ht="15" customHeight="1" x14ac:dyDescent="0.3">
      <c r="B21" s="12" t="s">
        <v>560</v>
      </c>
      <c r="C21" s="46">
        <f>Acquirer_Financials!G17</f>
        <v>4131.2039999999997</v>
      </c>
      <c r="D21" s="46">
        <f>Target_Financials!G17</f>
        <v>94.248000000000005</v>
      </c>
      <c r="E21" s="18">
        <f>C21+D21</f>
        <v>4225.4519999999993</v>
      </c>
    </row>
    <row r="22" spans="2:8" ht="15" customHeight="1" x14ac:dyDescent="0.3">
      <c r="B22" s="30" t="s">
        <v>561</v>
      </c>
      <c r="C22" s="65">
        <f>Acquirer_Financials!G19</f>
        <v>16.691733333333332</v>
      </c>
    </row>
    <row r="24" spans="2:8" ht="15" customHeight="1" x14ac:dyDescent="0.3">
      <c r="B24" s="4" t="s">
        <v>562</v>
      </c>
      <c r="C24" s="29"/>
      <c r="D24" s="29"/>
      <c r="E24" s="29"/>
      <c r="F24" s="29"/>
      <c r="G24" s="29"/>
      <c r="H24" s="29"/>
    </row>
    <row r="25" spans="2:8" ht="15" customHeight="1" x14ac:dyDescent="0.3">
      <c r="B25" s="16" t="s">
        <v>563</v>
      </c>
      <c r="C25" s="34">
        <f>Assumptions!C68</f>
        <v>0.1</v>
      </c>
    </row>
    <row r="26" spans="2:8" ht="15" customHeight="1" x14ac:dyDescent="0.3">
      <c r="B26" s="16" t="s">
        <v>564</v>
      </c>
      <c r="C26" s="18">
        <f>D19*C25</f>
        <v>192</v>
      </c>
    </row>
    <row r="27" spans="2:8" ht="15" customHeight="1" x14ac:dyDescent="0.3">
      <c r="B27" s="16" t="s">
        <v>565</v>
      </c>
      <c r="C27" s="34">
        <f>Assumptions!C69</f>
        <v>0.25</v>
      </c>
    </row>
    <row r="28" spans="2:8" ht="15" customHeight="1" x14ac:dyDescent="0.3">
      <c r="B28" s="30" t="s">
        <v>566</v>
      </c>
      <c r="C28" s="49">
        <f>C26*C27*(1-C15)</f>
        <v>35.903999999999996</v>
      </c>
    </row>
    <row r="29" spans="2:8" ht="15" customHeight="1" x14ac:dyDescent="0.3">
      <c r="B29" s="16" t="s">
        <v>567</v>
      </c>
      <c r="C29" s="66">
        <v>50</v>
      </c>
    </row>
    <row r="32" spans="2:8" ht="15" customHeight="1" x14ac:dyDescent="0.3">
      <c r="B32" s="67" t="s">
        <v>568</v>
      </c>
      <c r="C32" s="68"/>
      <c r="D32" s="68"/>
      <c r="E32" s="68"/>
      <c r="F32" s="68"/>
      <c r="G32" s="68"/>
      <c r="H32" s="68"/>
    </row>
    <row r="33" spans="2:8" ht="15" customHeight="1" x14ac:dyDescent="0.3">
      <c r="B33" s="28" t="s">
        <v>569</v>
      </c>
      <c r="C33" s="11" t="s">
        <v>570</v>
      </c>
      <c r="D33" s="11" t="s">
        <v>571</v>
      </c>
      <c r="E33" s="11" t="s">
        <v>572</v>
      </c>
      <c r="F33" s="11" t="s">
        <v>573</v>
      </c>
      <c r="G33" s="11" t="s">
        <v>574</v>
      </c>
      <c r="H33" s="11" t="s">
        <v>575</v>
      </c>
    </row>
    <row r="34" spans="2:8" ht="15" customHeight="1" x14ac:dyDescent="0.3">
      <c r="B34" s="69" t="s">
        <v>576</v>
      </c>
      <c r="C34" s="27">
        <v>1</v>
      </c>
      <c r="D34" s="27">
        <v>0</v>
      </c>
      <c r="E34" s="27">
        <v>0</v>
      </c>
      <c r="F34" s="27">
        <v>0.2</v>
      </c>
      <c r="G34" s="27">
        <v>0</v>
      </c>
      <c r="H34" s="27">
        <v>0.1</v>
      </c>
    </row>
    <row r="35" spans="2:8" ht="15" customHeight="1" x14ac:dyDescent="0.3">
      <c r="B35" s="69" t="s">
        <v>577</v>
      </c>
      <c r="C35" s="27">
        <v>0</v>
      </c>
      <c r="D35" s="27">
        <v>1</v>
      </c>
      <c r="E35" s="27">
        <v>0</v>
      </c>
      <c r="F35" s="27">
        <v>0.8</v>
      </c>
      <c r="G35" s="27">
        <v>0.5</v>
      </c>
      <c r="H35" s="27">
        <v>0.4</v>
      </c>
    </row>
    <row r="36" spans="2:8" ht="15" customHeight="1" x14ac:dyDescent="0.3">
      <c r="B36" s="69" t="s">
        <v>578</v>
      </c>
      <c r="C36" s="27">
        <v>0</v>
      </c>
      <c r="D36" s="27">
        <v>0</v>
      </c>
      <c r="E36" s="27">
        <v>1</v>
      </c>
      <c r="F36" s="27">
        <v>0</v>
      </c>
      <c r="G36" s="27">
        <v>0.5</v>
      </c>
      <c r="H36" s="27">
        <v>0.5</v>
      </c>
    </row>
    <row r="37" spans="2:8" ht="15" customHeight="1" x14ac:dyDescent="0.3">
      <c r="B37" s="70" t="s">
        <v>579</v>
      </c>
      <c r="C37" s="71">
        <f t="shared" ref="C37:H37" si="0">C34+C35+C36</f>
        <v>1</v>
      </c>
      <c r="D37" s="71">
        <f t="shared" si="0"/>
        <v>1</v>
      </c>
      <c r="E37" s="71">
        <f t="shared" si="0"/>
        <v>1</v>
      </c>
      <c r="F37" s="71">
        <f t="shared" si="0"/>
        <v>1</v>
      </c>
      <c r="G37" s="71">
        <f t="shared" si="0"/>
        <v>1</v>
      </c>
      <c r="H37" s="71">
        <f t="shared" si="0"/>
        <v>1</v>
      </c>
    </row>
    <row r="39" spans="2:8" ht="15" customHeight="1" x14ac:dyDescent="0.3">
      <c r="B39" s="4" t="s">
        <v>580</v>
      </c>
      <c r="C39" s="29"/>
      <c r="D39" s="29"/>
      <c r="E39" s="29"/>
      <c r="F39" s="29"/>
      <c r="G39" s="29"/>
      <c r="H39" s="29"/>
    </row>
    <row r="40" spans="2:8" ht="15" customHeight="1" x14ac:dyDescent="0.3">
      <c r="B40" s="16" t="s">
        <v>581</v>
      </c>
      <c r="C40" s="18">
        <f t="shared" ref="C40:H42" si="1">$C$8*C34</f>
        <v>3420</v>
      </c>
      <c r="D40" s="18">
        <f t="shared" si="1"/>
        <v>0</v>
      </c>
      <c r="E40" s="18">
        <f t="shared" si="1"/>
        <v>0</v>
      </c>
      <c r="F40" s="18">
        <f t="shared" si="1"/>
        <v>684</v>
      </c>
      <c r="G40" s="18">
        <f t="shared" si="1"/>
        <v>0</v>
      </c>
      <c r="H40" s="18">
        <f t="shared" si="1"/>
        <v>342</v>
      </c>
    </row>
    <row r="41" spans="2:8" ht="15" customHeight="1" x14ac:dyDescent="0.3">
      <c r="B41" s="16" t="s">
        <v>582</v>
      </c>
      <c r="C41" s="18">
        <f t="shared" si="1"/>
        <v>0</v>
      </c>
      <c r="D41" s="18">
        <f t="shared" si="1"/>
        <v>3420</v>
      </c>
      <c r="E41" s="18">
        <f t="shared" si="1"/>
        <v>0</v>
      </c>
      <c r="F41" s="18">
        <f t="shared" si="1"/>
        <v>2736</v>
      </c>
      <c r="G41" s="18">
        <f t="shared" si="1"/>
        <v>1710</v>
      </c>
      <c r="H41" s="18">
        <f t="shared" si="1"/>
        <v>1368</v>
      </c>
    </row>
    <row r="42" spans="2:8" ht="15" customHeight="1" x14ac:dyDescent="0.3">
      <c r="B42" s="16" t="s">
        <v>583</v>
      </c>
      <c r="C42" s="18">
        <f t="shared" si="1"/>
        <v>0</v>
      </c>
      <c r="D42" s="18">
        <f t="shared" si="1"/>
        <v>0</v>
      </c>
      <c r="E42" s="18">
        <f t="shared" si="1"/>
        <v>3420</v>
      </c>
      <c r="F42" s="18">
        <f t="shared" si="1"/>
        <v>0</v>
      </c>
      <c r="G42" s="18">
        <f t="shared" si="1"/>
        <v>1710</v>
      </c>
      <c r="H42" s="18">
        <f t="shared" si="1"/>
        <v>1710</v>
      </c>
    </row>
    <row r="43" spans="2:8" ht="15" customHeight="1" x14ac:dyDescent="0.3">
      <c r="B43" s="16" t="s">
        <v>584</v>
      </c>
      <c r="C43" s="72">
        <f t="shared" ref="C43:H43" si="2">C42/$C$11</f>
        <v>0</v>
      </c>
      <c r="D43" s="72">
        <f t="shared" si="2"/>
        <v>0</v>
      </c>
      <c r="E43" s="72">
        <f t="shared" si="2"/>
        <v>6.0184777826660802</v>
      </c>
      <c r="F43" s="72">
        <f t="shared" si="2"/>
        <v>0</v>
      </c>
      <c r="G43" s="72">
        <f t="shared" si="2"/>
        <v>3.0092388913330401</v>
      </c>
      <c r="H43" s="72">
        <f t="shared" si="2"/>
        <v>3.0092388913330401</v>
      </c>
    </row>
    <row r="45" spans="2:8" ht="15" customHeight="1" x14ac:dyDescent="0.3">
      <c r="B45" s="4" t="s">
        <v>585</v>
      </c>
      <c r="C45" s="29"/>
      <c r="D45" s="29"/>
      <c r="E45" s="29"/>
      <c r="F45" s="29"/>
      <c r="G45" s="29"/>
      <c r="H45" s="29"/>
    </row>
    <row r="46" spans="2:8" ht="15" customHeight="1" x14ac:dyDescent="0.3">
      <c r="B46" s="16" t="s">
        <v>586</v>
      </c>
      <c r="C46" s="18">
        <f t="shared" ref="C46:H46" si="3">$C$21</f>
        <v>4131.2039999999997</v>
      </c>
      <c r="D46" s="18">
        <f t="shared" si="3"/>
        <v>4131.2039999999997</v>
      </c>
      <c r="E46" s="18">
        <f t="shared" si="3"/>
        <v>4131.2039999999997</v>
      </c>
      <c r="F46" s="18">
        <f t="shared" si="3"/>
        <v>4131.2039999999997</v>
      </c>
      <c r="G46" s="18">
        <f t="shared" si="3"/>
        <v>4131.2039999999997</v>
      </c>
      <c r="H46" s="18">
        <f t="shared" si="3"/>
        <v>4131.2039999999997</v>
      </c>
    </row>
    <row r="47" spans="2:8" ht="15" customHeight="1" x14ac:dyDescent="0.3">
      <c r="B47" s="16" t="s">
        <v>587</v>
      </c>
      <c r="C47" s="18">
        <f t="shared" ref="C47:H47" si="4">$D$21</f>
        <v>94.248000000000005</v>
      </c>
      <c r="D47" s="18">
        <f t="shared" si="4"/>
        <v>94.248000000000005</v>
      </c>
      <c r="E47" s="18">
        <f t="shared" si="4"/>
        <v>94.248000000000005</v>
      </c>
      <c r="F47" s="18">
        <f t="shared" si="4"/>
        <v>94.248000000000005</v>
      </c>
      <c r="G47" s="18">
        <f t="shared" si="4"/>
        <v>94.248000000000005</v>
      </c>
      <c r="H47" s="18">
        <f t="shared" si="4"/>
        <v>94.248000000000005</v>
      </c>
    </row>
    <row r="48" spans="2:8" ht="15" customHeight="1" x14ac:dyDescent="0.3">
      <c r="B48" s="16" t="s">
        <v>588</v>
      </c>
      <c r="C48" s="18">
        <f t="shared" ref="C48:H48" si="5">$C$28</f>
        <v>35.903999999999996</v>
      </c>
      <c r="D48" s="18">
        <f t="shared" si="5"/>
        <v>35.903999999999996</v>
      </c>
      <c r="E48" s="18">
        <f t="shared" si="5"/>
        <v>35.903999999999996</v>
      </c>
      <c r="F48" s="18">
        <f t="shared" si="5"/>
        <v>35.903999999999996</v>
      </c>
      <c r="G48" s="18">
        <f t="shared" si="5"/>
        <v>35.903999999999996</v>
      </c>
      <c r="H48" s="18">
        <f t="shared" si="5"/>
        <v>35.903999999999996</v>
      </c>
    </row>
    <row r="49" spans="2:8" ht="15" customHeight="1" x14ac:dyDescent="0.3">
      <c r="B49" s="16" t="s">
        <v>589</v>
      </c>
      <c r="C49" s="18">
        <f t="shared" ref="C49:H49" si="6">C41*$C$13*(1-$C$15)</f>
        <v>0</v>
      </c>
      <c r="D49" s="18">
        <f t="shared" si="6"/>
        <v>223.839</v>
      </c>
      <c r="E49" s="18">
        <f t="shared" si="6"/>
        <v>0</v>
      </c>
      <c r="F49" s="18">
        <f t="shared" si="6"/>
        <v>179.07119999999998</v>
      </c>
      <c r="G49" s="18">
        <f t="shared" si="6"/>
        <v>111.9195</v>
      </c>
      <c r="H49" s="18">
        <f t="shared" si="6"/>
        <v>89.535599999999988</v>
      </c>
    </row>
    <row r="50" spans="2:8" ht="15" customHeight="1" x14ac:dyDescent="0.3">
      <c r="B50" s="16" t="s">
        <v>590</v>
      </c>
      <c r="C50" s="18">
        <f t="shared" ref="C50:H50" si="7">C40*$C$14*(1-$C$15)</f>
        <v>153.4896</v>
      </c>
      <c r="D50" s="18">
        <f t="shared" si="7"/>
        <v>0</v>
      </c>
      <c r="E50" s="18">
        <f t="shared" si="7"/>
        <v>0</v>
      </c>
      <c r="F50" s="18">
        <f t="shared" si="7"/>
        <v>30.69792</v>
      </c>
      <c r="G50" s="18">
        <f t="shared" si="7"/>
        <v>0</v>
      </c>
      <c r="H50" s="18">
        <f t="shared" si="7"/>
        <v>15.34896</v>
      </c>
    </row>
    <row r="51" spans="2:8" ht="15" customHeight="1" x14ac:dyDescent="0.3">
      <c r="B51" s="16" t="s">
        <v>591</v>
      </c>
      <c r="C51" s="18">
        <f t="shared" ref="C51:H51" si="8">$C$29</f>
        <v>50</v>
      </c>
      <c r="D51" s="18">
        <f t="shared" si="8"/>
        <v>50</v>
      </c>
      <c r="E51" s="18">
        <f t="shared" si="8"/>
        <v>50</v>
      </c>
      <c r="F51" s="18">
        <f t="shared" si="8"/>
        <v>50</v>
      </c>
      <c r="G51" s="18">
        <f t="shared" si="8"/>
        <v>50</v>
      </c>
      <c r="H51" s="18">
        <f t="shared" si="8"/>
        <v>50</v>
      </c>
    </row>
    <row r="52" spans="2:8" ht="15" customHeight="1" x14ac:dyDescent="0.3">
      <c r="B52" s="30" t="s">
        <v>592</v>
      </c>
      <c r="C52" s="31">
        <f t="shared" ref="C52:H52" si="9">C46+C47+C48-C49-C50-C51</f>
        <v>4057.8663999999999</v>
      </c>
      <c r="D52" s="31">
        <f t="shared" si="9"/>
        <v>3987.5169999999998</v>
      </c>
      <c r="E52" s="31">
        <f t="shared" si="9"/>
        <v>4211.3559999999998</v>
      </c>
      <c r="F52" s="31">
        <f t="shared" si="9"/>
        <v>4001.5868799999998</v>
      </c>
      <c r="G52" s="31">
        <f t="shared" si="9"/>
        <v>4099.4364999999998</v>
      </c>
      <c r="H52" s="31">
        <f t="shared" si="9"/>
        <v>4106.4714399999993</v>
      </c>
    </row>
    <row r="54" spans="2:8" ht="15" customHeight="1" x14ac:dyDescent="0.3">
      <c r="B54" s="4" t="s">
        <v>593</v>
      </c>
      <c r="C54" s="29"/>
      <c r="D54" s="29"/>
      <c r="E54" s="29"/>
      <c r="F54" s="29"/>
      <c r="G54" s="29"/>
      <c r="H54" s="29"/>
    </row>
    <row r="55" spans="2:8" ht="15" customHeight="1" x14ac:dyDescent="0.3">
      <c r="B55" s="16" t="s">
        <v>594</v>
      </c>
      <c r="C55" s="72">
        <f t="shared" ref="C55:H55" si="10">$C$12</f>
        <v>247.5</v>
      </c>
      <c r="D55" s="72">
        <f t="shared" si="10"/>
        <v>247.5</v>
      </c>
      <c r="E55" s="72">
        <f t="shared" si="10"/>
        <v>247.5</v>
      </c>
      <c r="F55" s="72">
        <f t="shared" si="10"/>
        <v>247.5</v>
      </c>
      <c r="G55" s="72">
        <f t="shared" si="10"/>
        <v>247.5</v>
      </c>
      <c r="H55" s="72">
        <f t="shared" si="10"/>
        <v>247.5</v>
      </c>
    </row>
    <row r="56" spans="2:8" ht="15" customHeight="1" x14ac:dyDescent="0.3">
      <c r="B56" s="16" t="s">
        <v>595</v>
      </c>
      <c r="C56" s="72">
        <f t="shared" ref="C56:H56" si="11">C43</f>
        <v>0</v>
      </c>
      <c r="D56" s="72">
        <f t="shared" si="11"/>
        <v>0</v>
      </c>
      <c r="E56" s="72">
        <f t="shared" si="11"/>
        <v>6.0184777826660802</v>
      </c>
      <c r="F56" s="72">
        <f t="shared" si="11"/>
        <v>0</v>
      </c>
      <c r="G56" s="72">
        <f t="shared" si="11"/>
        <v>3.0092388913330401</v>
      </c>
      <c r="H56" s="72">
        <f t="shared" si="11"/>
        <v>3.0092388913330401</v>
      </c>
    </row>
    <row r="57" spans="2:8" ht="15" customHeight="1" x14ac:dyDescent="0.3">
      <c r="B57" s="12" t="s">
        <v>596</v>
      </c>
      <c r="C57" s="73">
        <f t="shared" ref="C57:H57" si="12">C55+C56</f>
        <v>247.5</v>
      </c>
      <c r="D57" s="73">
        <f t="shared" si="12"/>
        <v>247.5</v>
      </c>
      <c r="E57" s="73">
        <f t="shared" si="12"/>
        <v>253.51847778266608</v>
      </c>
      <c r="F57" s="73">
        <f t="shared" si="12"/>
        <v>247.5</v>
      </c>
      <c r="G57" s="73">
        <f t="shared" si="12"/>
        <v>250.50923889133304</v>
      </c>
      <c r="H57" s="73">
        <f t="shared" si="12"/>
        <v>250.50923889133304</v>
      </c>
    </row>
    <row r="58" spans="2:8" ht="15" customHeight="1" x14ac:dyDescent="0.3">
      <c r="B58" s="30" t="s">
        <v>597</v>
      </c>
      <c r="C58" s="32">
        <f t="shared" ref="C58:H58" si="13">C52/C57</f>
        <v>16.395419797979798</v>
      </c>
      <c r="D58" s="32">
        <f t="shared" si="13"/>
        <v>16.111179797979798</v>
      </c>
      <c r="E58" s="32">
        <f t="shared" si="13"/>
        <v>16.611633348517781</v>
      </c>
      <c r="F58" s="32">
        <f t="shared" si="13"/>
        <v>16.168027797979796</v>
      </c>
      <c r="G58" s="32">
        <f t="shared" si="13"/>
        <v>16.364412419049625</v>
      </c>
      <c r="H58" s="32">
        <f t="shared" si="13"/>
        <v>16.392494976128692</v>
      </c>
    </row>
    <row r="59" spans="2:8" ht="15" customHeight="1" x14ac:dyDescent="0.3">
      <c r="B59" s="16" t="s">
        <v>598</v>
      </c>
      <c r="C59" s="41">
        <f t="shared" ref="C59:H59" si="14">$C$22</f>
        <v>16.691733333333332</v>
      </c>
      <c r="D59" s="41">
        <f t="shared" si="14"/>
        <v>16.691733333333332</v>
      </c>
      <c r="E59" s="41">
        <f t="shared" si="14"/>
        <v>16.691733333333332</v>
      </c>
      <c r="F59" s="41">
        <f t="shared" si="14"/>
        <v>16.691733333333332</v>
      </c>
      <c r="G59" s="41">
        <f t="shared" si="14"/>
        <v>16.691733333333332</v>
      </c>
      <c r="H59" s="41">
        <f t="shared" si="14"/>
        <v>16.691733333333332</v>
      </c>
    </row>
    <row r="60" spans="2:8" ht="15" customHeight="1" x14ac:dyDescent="0.3">
      <c r="B60" s="50" t="s">
        <v>599</v>
      </c>
      <c r="C60" s="52">
        <f t="shared" ref="C60:H60" si="15">C58-C59</f>
        <v>-0.29631353535353355</v>
      </c>
      <c r="D60" s="52">
        <f t="shared" si="15"/>
        <v>-0.58055353535353404</v>
      </c>
      <c r="E60" s="52">
        <f t="shared" si="15"/>
        <v>-8.0099984815550584E-2</v>
      </c>
      <c r="F60" s="52">
        <f t="shared" si="15"/>
        <v>-0.52370553535353537</v>
      </c>
      <c r="G60" s="52">
        <f t="shared" si="15"/>
        <v>-0.3273209142837068</v>
      </c>
      <c r="H60" s="52">
        <f t="shared" si="15"/>
        <v>-0.29923835720463998</v>
      </c>
    </row>
    <row r="61" spans="2:8" ht="15" customHeight="1" x14ac:dyDescent="0.3">
      <c r="B61" s="50" t="s">
        <v>600</v>
      </c>
      <c r="C61" s="74">
        <f t="shared" ref="C61:H61" si="16">C58/C59-1</f>
        <v>-1.7752112943345222E-2</v>
      </c>
      <c r="D61" s="74">
        <f t="shared" si="16"/>
        <v>-3.4780901645137807E-2</v>
      </c>
      <c r="E61" s="74">
        <f t="shared" si="16"/>
        <v>-4.7987817212242767E-3</v>
      </c>
      <c r="F61" s="74">
        <f t="shared" si="16"/>
        <v>-3.1375143904779357E-2</v>
      </c>
      <c r="G61" s="74">
        <f t="shared" si="16"/>
        <v>-1.9609761775312373E-2</v>
      </c>
      <c r="H61" s="74">
        <f t="shared" si="16"/>
        <v>-1.7927338714851304E-2</v>
      </c>
    </row>
    <row r="63" spans="2:8" ht="15" customHeight="1" x14ac:dyDescent="0.3">
      <c r="B63" s="4" t="s">
        <v>601</v>
      </c>
      <c r="C63" s="29"/>
      <c r="D63" s="29"/>
      <c r="E63" s="29"/>
      <c r="F63" s="29"/>
      <c r="G63" s="29"/>
      <c r="H63" s="29"/>
    </row>
    <row r="64" spans="2:8" ht="15" customHeight="1" x14ac:dyDescent="0.3">
      <c r="B64" s="16" t="s">
        <v>602</v>
      </c>
      <c r="C64" s="46">
        <f>Assumptions!C10</f>
        <v>3500</v>
      </c>
      <c r="D64" s="46">
        <f>Assumptions!C10</f>
        <v>3500</v>
      </c>
      <c r="E64" s="46">
        <f>Assumptions!C10</f>
        <v>3500</v>
      </c>
      <c r="F64" s="46">
        <f>Assumptions!C10</f>
        <v>3500</v>
      </c>
      <c r="G64" s="46">
        <f>Assumptions!C10</f>
        <v>3500</v>
      </c>
      <c r="H64" s="46">
        <f>Assumptions!C10</f>
        <v>3500</v>
      </c>
    </row>
    <row r="65" spans="2:8" ht="15" customHeight="1" x14ac:dyDescent="0.3">
      <c r="B65" s="16" t="s">
        <v>603</v>
      </c>
      <c r="C65" s="18">
        <f t="shared" ref="C65:H65" si="17">$C$9</f>
        <v>1160</v>
      </c>
      <c r="D65" s="18">
        <f t="shared" si="17"/>
        <v>1160</v>
      </c>
      <c r="E65" s="18">
        <f t="shared" si="17"/>
        <v>1160</v>
      </c>
      <c r="F65" s="18">
        <f t="shared" si="17"/>
        <v>1160</v>
      </c>
      <c r="G65" s="18">
        <f t="shared" si="17"/>
        <v>1160</v>
      </c>
      <c r="H65" s="18">
        <f t="shared" si="17"/>
        <v>1160</v>
      </c>
    </row>
    <row r="66" spans="2:8" ht="15" customHeight="1" x14ac:dyDescent="0.3">
      <c r="B66" s="16" t="s">
        <v>604</v>
      </c>
      <c r="C66" s="18">
        <f t="shared" ref="C66:H66" si="18">C41</f>
        <v>0</v>
      </c>
      <c r="D66" s="18">
        <f t="shared" si="18"/>
        <v>3420</v>
      </c>
      <c r="E66" s="18">
        <f t="shared" si="18"/>
        <v>0</v>
      </c>
      <c r="F66" s="18">
        <f t="shared" si="18"/>
        <v>2736</v>
      </c>
      <c r="G66" s="18">
        <f t="shared" si="18"/>
        <v>1710</v>
      </c>
      <c r="H66" s="18">
        <f t="shared" si="18"/>
        <v>1368</v>
      </c>
    </row>
    <row r="67" spans="2:8" ht="15" customHeight="1" x14ac:dyDescent="0.3">
      <c r="B67" s="16" t="s">
        <v>605</v>
      </c>
      <c r="C67" s="18">
        <f t="shared" ref="C67:H67" si="19">C40</f>
        <v>3420</v>
      </c>
      <c r="D67" s="18">
        <f t="shared" si="19"/>
        <v>0</v>
      </c>
      <c r="E67" s="18">
        <f t="shared" si="19"/>
        <v>0</v>
      </c>
      <c r="F67" s="18">
        <f t="shared" si="19"/>
        <v>684</v>
      </c>
      <c r="G67" s="18">
        <f t="shared" si="19"/>
        <v>0</v>
      </c>
      <c r="H67" s="18">
        <f t="shared" si="19"/>
        <v>342</v>
      </c>
    </row>
    <row r="68" spans="2:8" ht="15" customHeight="1" x14ac:dyDescent="0.3">
      <c r="B68" s="12" t="s">
        <v>606</v>
      </c>
      <c r="C68" s="75">
        <f t="shared" ref="C68:H68" si="20">C64+C65+C66-C67</f>
        <v>1240</v>
      </c>
      <c r="D68" s="75">
        <f t="shared" si="20"/>
        <v>8080</v>
      </c>
      <c r="E68" s="75">
        <f t="shared" si="20"/>
        <v>4660</v>
      </c>
      <c r="F68" s="75">
        <f t="shared" si="20"/>
        <v>6712</v>
      </c>
      <c r="G68" s="75">
        <f t="shared" si="20"/>
        <v>6370</v>
      </c>
      <c r="H68" s="75">
        <f t="shared" si="20"/>
        <v>5686</v>
      </c>
    </row>
    <row r="69" spans="2:8" ht="15" customHeight="1" x14ac:dyDescent="0.3">
      <c r="B69" s="16" t="s">
        <v>607</v>
      </c>
      <c r="C69" s="18">
        <f t="shared" ref="C69:H69" si="21">$E$20</f>
        <v>5966</v>
      </c>
      <c r="D69" s="18">
        <f t="shared" si="21"/>
        <v>5966</v>
      </c>
      <c r="E69" s="18">
        <f t="shared" si="21"/>
        <v>5966</v>
      </c>
      <c r="F69" s="18">
        <f t="shared" si="21"/>
        <v>5966</v>
      </c>
      <c r="G69" s="18">
        <f t="shared" si="21"/>
        <v>5966</v>
      </c>
      <c r="H69" s="18">
        <f t="shared" si="21"/>
        <v>5966</v>
      </c>
    </row>
    <row r="70" spans="2:8" ht="15" customHeight="1" x14ac:dyDescent="0.3">
      <c r="B70" s="30" t="s">
        <v>608</v>
      </c>
      <c r="C70" s="76">
        <f t="shared" ref="C70:H70" si="22">C68/C69</f>
        <v>0.20784445189406639</v>
      </c>
      <c r="D70" s="76">
        <f t="shared" si="22"/>
        <v>1.3543412671806905</v>
      </c>
      <c r="E70" s="76">
        <f t="shared" si="22"/>
        <v>0.7810928595373785</v>
      </c>
      <c r="F70" s="76">
        <f t="shared" si="22"/>
        <v>1.1250419041233657</v>
      </c>
      <c r="G70" s="76">
        <f t="shared" si="22"/>
        <v>1.0677170633590345</v>
      </c>
      <c r="H70" s="76">
        <f t="shared" si="22"/>
        <v>0.9530673818303721</v>
      </c>
    </row>
    <row r="72" spans="2:8" ht="15" customHeight="1" x14ac:dyDescent="0.3">
      <c r="B72" s="87" t="s">
        <v>609</v>
      </c>
      <c r="C72" s="87"/>
      <c r="D72" s="87"/>
      <c r="E72" s="87"/>
      <c r="F72" s="87"/>
      <c r="G72" s="87"/>
      <c r="H72" s="87"/>
    </row>
    <row r="73" spans="2:8" ht="15" customHeight="1" x14ac:dyDescent="0.3">
      <c r="B73" s="87" t="s">
        <v>610</v>
      </c>
      <c r="C73" s="87"/>
      <c r="D73" s="87"/>
      <c r="E73" s="87"/>
      <c r="F73" s="87"/>
      <c r="G73" s="87"/>
      <c r="H73" s="87"/>
    </row>
    <row r="74" spans="2:8" ht="15" customHeight="1" x14ac:dyDescent="0.3">
      <c r="B74" s="87" t="s">
        <v>611</v>
      </c>
      <c r="C74" s="87"/>
      <c r="D74" s="87"/>
      <c r="E74" s="87"/>
      <c r="F74" s="87"/>
      <c r="G74" s="87"/>
      <c r="H74" s="87"/>
    </row>
    <row r="75" spans="2:8" ht="15" customHeight="1" x14ac:dyDescent="0.3">
      <c r="B75" s="87" t="s">
        <v>612</v>
      </c>
      <c r="C75" s="87"/>
      <c r="D75" s="87"/>
      <c r="E75" s="87"/>
      <c r="F75" s="87"/>
      <c r="G75" s="87"/>
      <c r="H75" s="87"/>
    </row>
    <row r="76" spans="2:8" ht="15" customHeight="1" x14ac:dyDescent="0.3">
      <c r="B76" s="87" t="s">
        <v>613</v>
      </c>
      <c r="C76" s="87"/>
      <c r="D76" s="87"/>
      <c r="E76" s="87"/>
      <c r="F76" s="87"/>
      <c r="G76" s="87"/>
      <c r="H76" s="87"/>
    </row>
    <row r="77" spans="2:8" ht="15" customHeight="1" x14ac:dyDescent="0.3">
      <c r="B77" s="87" t="s">
        <v>614</v>
      </c>
      <c r="C77" s="87"/>
      <c r="D77" s="87"/>
      <c r="E77" s="87"/>
      <c r="F77" s="87"/>
      <c r="G77" s="87"/>
      <c r="H77" s="87"/>
    </row>
  </sheetData>
  <mergeCells count="6">
    <mergeCell ref="B77:H77"/>
    <mergeCell ref="B72:H72"/>
    <mergeCell ref="B73:H73"/>
    <mergeCell ref="B74:H74"/>
    <mergeCell ref="B75:H75"/>
    <mergeCell ref="B76:H76"/>
  </mergeCells>
  <conditionalFormatting sqref="C61:H61">
    <cfRule type="colorScale" priority="2">
      <colorScale>
        <cfvo type="num" val="-0.05"/>
        <cfvo type="num" val="0"/>
        <cfvo type="num" val="0.0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48"/>
  <sheetViews>
    <sheetView topLeftCell="A4" zoomScaleNormal="100" workbookViewId="0">
      <selection activeCell="L29" sqref="L29:N35"/>
    </sheetView>
  </sheetViews>
  <sheetFormatPr defaultColWidth="8.6640625" defaultRowHeight="14.4" x14ac:dyDescent="0.3"/>
  <cols>
    <col min="1" max="1" width="2" customWidth="1"/>
    <col min="2" max="2" width="20" customWidth="1"/>
    <col min="3" max="9" width="13" customWidth="1"/>
  </cols>
  <sheetData>
    <row r="2" spans="2:9" ht="19.5" customHeight="1" x14ac:dyDescent="0.3">
      <c r="B2" s="9" t="s">
        <v>615</v>
      </c>
    </row>
    <row r="3" spans="2:9" ht="15" customHeight="1" x14ac:dyDescent="0.3">
      <c r="B3" s="10" t="s">
        <v>616</v>
      </c>
    </row>
    <row r="5" spans="2:9" ht="15" customHeight="1" x14ac:dyDescent="0.3">
      <c r="B5" s="4" t="s">
        <v>617</v>
      </c>
      <c r="C5" s="29"/>
      <c r="D5" s="29"/>
      <c r="E5" s="29"/>
      <c r="F5" s="29"/>
      <c r="G5" s="29"/>
      <c r="H5" s="29"/>
      <c r="I5" s="29"/>
    </row>
    <row r="6" spans="2:9" ht="15" customHeight="1" x14ac:dyDescent="0.3">
      <c r="B6" s="16" t="s">
        <v>490</v>
      </c>
      <c r="C6" s="58">
        <f>Assumptions!C18</f>
        <v>7.2</v>
      </c>
    </row>
    <row r="7" spans="2:9" ht="15" customHeight="1" x14ac:dyDescent="0.3">
      <c r="B7" s="16" t="s">
        <v>548</v>
      </c>
      <c r="C7" s="60">
        <f>Assumptions!C7</f>
        <v>568.25</v>
      </c>
    </row>
    <row r="8" spans="2:9" ht="15" customHeight="1" x14ac:dyDescent="0.3">
      <c r="B8" s="16" t="s">
        <v>549</v>
      </c>
      <c r="C8" s="58">
        <f>Assumptions!C8</f>
        <v>247.5</v>
      </c>
    </row>
    <row r="9" spans="2:9" ht="15" customHeight="1" x14ac:dyDescent="0.3">
      <c r="B9" s="16" t="s">
        <v>550</v>
      </c>
      <c r="C9" s="34">
        <f>Assumptions!C61</f>
        <v>8.7499999999999994E-2</v>
      </c>
    </row>
    <row r="10" spans="2:9" ht="15" customHeight="1" x14ac:dyDescent="0.3">
      <c r="B10" s="16" t="s">
        <v>552</v>
      </c>
      <c r="C10" s="34">
        <f>Assumptions!C62</f>
        <v>0.252</v>
      </c>
    </row>
    <row r="11" spans="2:9" ht="15" customHeight="1" x14ac:dyDescent="0.3">
      <c r="B11" s="16" t="s">
        <v>618</v>
      </c>
      <c r="C11" s="46">
        <f>Acquirer_Financials!G17</f>
        <v>4131.2039999999997</v>
      </c>
    </row>
    <row r="12" spans="2:9" ht="15" customHeight="1" x14ac:dyDescent="0.3">
      <c r="B12" s="16" t="s">
        <v>619</v>
      </c>
      <c r="C12" s="46">
        <f>Target_Financials!G17</f>
        <v>94.248000000000005</v>
      </c>
    </row>
    <row r="13" spans="2:9" ht="15" customHeight="1" x14ac:dyDescent="0.3">
      <c r="B13" s="16" t="s">
        <v>620</v>
      </c>
      <c r="C13" s="46">
        <f>Accretion_Dilution!C28</f>
        <v>35.903999999999996</v>
      </c>
    </row>
    <row r="14" spans="2:9" ht="15" customHeight="1" x14ac:dyDescent="0.3">
      <c r="B14" s="16" t="s">
        <v>621</v>
      </c>
      <c r="C14" s="19">
        <v>50</v>
      </c>
    </row>
    <row r="15" spans="2:9" ht="15" customHeight="1" x14ac:dyDescent="0.3">
      <c r="B15" s="16" t="s">
        <v>622</v>
      </c>
      <c r="C15" s="60">
        <f>Acquirer_Financials!G19</f>
        <v>16.691733333333332</v>
      </c>
    </row>
    <row r="18" spans="2:9" ht="15" customHeight="1" x14ac:dyDescent="0.3">
      <c r="B18" s="4" t="s">
        <v>623</v>
      </c>
      <c r="C18" s="29"/>
      <c r="D18" s="29"/>
      <c r="E18" s="29"/>
      <c r="F18" s="29"/>
      <c r="G18" s="29"/>
      <c r="H18" s="29"/>
      <c r="I18" s="29"/>
    </row>
    <row r="19" spans="2:9" ht="15" customHeight="1" x14ac:dyDescent="0.3">
      <c r="B19" s="53" t="s">
        <v>624</v>
      </c>
      <c r="C19" s="54">
        <v>0</v>
      </c>
      <c r="D19" s="54">
        <v>0.25</v>
      </c>
      <c r="E19" s="54">
        <v>0.5</v>
      </c>
      <c r="F19" s="54">
        <v>0.75</v>
      </c>
      <c r="G19" s="54">
        <v>1</v>
      </c>
    </row>
    <row r="20" spans="2:9" ht="15" customHeight="1" x14ac:dyDescent="0.3">
      <c r="B20" s="77">
        <v>400</v>
      </c>
      <c r="C20" s="78">
        <f t="shared" ref="C20:G26" si="0">((($C$11+$C$12+$C$13-($B20*$C$6*(1-C$19))*$C$9*(1-$C$10)-$C$14)/($C$8+($B20*$C$6*C$19)/$C$7))/$C$15)-1</f>
        <v>-2.622576856529002E-2</v>
      </c>
      <c r="D20" s="78">
        <f t="shared" si="0"/>
        <v>-1.9836758117226849E-2</v>
      </c>
      <c r="E20" s="78">
        <f t="shared" si="0"/>
        <v>-1.3512500298907493E-2</v>
      </c>
      <c r="F20" s="78">
        <f t="shared" si="0"/>
        <v>-7.252015671650569E-3</v>
      </c>
      <c r="G20" s="78">
        <f t="shared" si="0"/>
        <v>-1.0543444508044342E-3</v>
      </c>
    </row>
    <row r="21" spans="2:9" ht="15" customHeight="1" x14ac:dyDescent="0.3">
      <c r="B21" s="77">
        <v>450</v>
      </c>
      <c r="C21" s="78">
        <f t="shared" si="0"/>
        <v>-3.1929190618521841E-2</v>
      </c>
      <c r="D21" s="78">
        <f t="shared" si="0"/>
        <v>-2.4713467389420041E-2</v>
      </c>
      <c r="E21" s="78">
        <f t="shared" si="0"/>
        <v>-1.7579912848388446E-2</v>
      </c>
      <c r="F21" s="78">
        <f t="shared" si="0"/>
        <v>-1.0527131403791579E-2</v>
      </c>
      <c r="G21" s="78">
        <f t="shared" si="0"/>
        <v>-3.5537588905851791E-3</v>
      </c>
    </row>
    <row r="22" spans="2:9" ht="15" customHeight="1" x14ac:dyDescent="0.3">
      <c r="B22" s="77">
        <v>475</v>
      </c>
      <c r="C22" s="78">
        <f t="shared" si="0"/>
        <v>-3.4780901645137807E-2</v>
      </c>
      <c r="D22" s="78">
        <f t="shared" si="0"/>
        <v>-2.7149495628726039E-2</v>
      </c>
      <c r="E22" s="78">
        <f t="shared" si="0"/>
        <v>-1.9609761775312373E-2</v>
      </c>
      <c r="F22" s="78">
        <f t="shared" si="0"/>
        <v>-1.2160058130918472E-2</v>
      </c>
      <c r="G22" s="78">
        <f t="shared" si="0"/>
        <v>-4.7987817212242767E-3</v>
      </c>
    </row>
    <row r="23" spans="2:9" ht="15" customHeight="1" x14ac:dyDescent="0.3">
      <c r="B23" s="77">
        <v>500</v>
      </c>
      <c r="C23" s="78">
        <f t="shared" si="0"/>
        <v>-3.7632612671753662E-2</v>
      </c>
      <c r="D23" s="78">
        <f t="shared" si="0"/>
        <v>-2.9583974909170752E-2</v>
      </c>
      <c r="E23" s="78">
        <f t="shared" si="0"/>
        <v>-2.1637045636262342E-2</v>
      </c>
      <c r="F23" s="78">
        <f t="shared" si="0"/>
        <v>-1.3789909063088079E-2</v>
      </c>
      <c r="G23" s="78">
        <f t="shared" si="0"/>
        <v>-6.0406972141432425E-3</v>
      </c>
    </row>
    <row r="24" spans="2:9" ht="15" customHeight="1" x14ac:dyDescent="0.3">
      <c r="B24" s="77">
        <v>550</v>
      </c>
      <c r="C24" s="78">
        <f t="shared" si="0"/>
        <v>-4.3336034724985595E-2</v>
      </c>
      <c r="D24" s="78">
        <f t="shared" si="0"/>
        <v>-3.4448292499193123E-2</v>
      </c>
      <c r="E24" s="78">
        <f t="shared" si="0"/>
        <v>-2.5683937584127348E-2</v>
      </c>
      <c r="F24" s="78">
        <f t="shared" si="0"/>
        <v>-1.704041823876512E-2</v>
      </c>
      <c r="G24" s="78">
        <f t="shared" si="0"/>
        <v>-8.5152526028815512E-3</v>
      </c>
    </row>
    <row r="25" spans="2:9" ht="15" customHeight="1" x14ac:dyDescent="0.3">
      <c r="B25" s="77">
        <v>600</v>
      </c>
      <c r="C25" s="78">
        <f t="shared" si="0"/>
        <v>-4.9039456778217638E-2</v>
      </c>
      <c r="D25" s="78">
        <f t="shared" si="0"/>
        <v>-3.9306431952169096E-2</v>
      </c>
      <c r="E25" s="78">
        <f t="shared" si="0"/>
        <v>-2.9720627417340717E-2</v>
      </c>
      <c r="F25" s="78">
        <f t="shared" si="0"/>
        <v>-2.0278727997699142E-2</v>
      </c>
      <c r="G25" s="78">
        <f t="shared" si="0"/>
        <v>-1.097751731257135E-2</v>
      </c>
    </row>
    <row r="26" spans="2:9" ht="15" customHeight="1" x14ac:dyDescent="0.3">
      <c r="B26" s="77">
        <v>650</v>
      </c>
      <c r="C26" s="78">
        <f t="shared" si="0"/>
        <v>-5.4742878831449682E-2</v>
      </c>
      <c r="D26" s="78">
        <f t="shared" si="0"/>
        <v>-4.415840503084445E-2</v>
      </c>
      <c r="E26" s="78">
        <f t="shared" si="0"/>
        <v>-3.3747153666253915E-2</v>
      </c>
      <c r="F26" s="78">
        <f t="shared" si="0"/>
        <v>-2.3504906889311727E-2</v>
      </c>
      <c r="G26" s="78">
        <f t="shared" si="0"/>
        <v>-1.3427582684818251E-2</v>
      </c>
    </row>
    <row r="28" spans="2:9" ht="15" customHeight="1" x14ac:dyDescent="0.3">
      <c r="B28" s="87" t="s">
        <v>625</v>
      </c>
      <c r="C28" s="87"/>
      <c r="D28" s="87"/>
      <c r="E28" s="87"/>
      <c r="F28" s="87"/>
      <c r="G28" s="87"/>
      <c r="H28" s="87"/>
    </row>
    <row r="31" spans="2:9" ht="15" customHeight="1" x14ac:dyDescent="0.3">
      <c r="B31" s="4" t="s">
        <v>626</v>
      </c>
      <c r="C31" s="29"/>
      <c r="D31" s="29"/>
      <c r="E31" s="29"/>
      <c r="F31" s="29"/>
      <c r="G31" s="29"/>
      <c r="H31" s="29"/>
      <c r="I31" s="29"/>
    </row>
    <row r="32" spans="2:9" ht="15" customHeight="1" x14ac:dyDescent="0.3">
      <c r="B32" s="53" t="s">
        <v>624</v>
      </c>
      <c r="C32" s="54">
        <v>0.5</v>
      </c>
      <c r="D32" s="54">
        <v>0.75</v>
      </c>
      <c r="E32" s="54">
        <v>1</v>
      </c>
      <c r="F32" s="54">
        <v>1.25</v>
      </c>
      <c r="G32" s="54">
        <v>1.5</v>
      </c>
    </row>
    <row r="33" spans="2:9" ht="15" customHeight="1" x14ac:dyDescent="0.3">
      <c r="B33" s="77">
        <v>400</v>
      </c>
      <c r="C33" s="78">
        <f t="shared" ref="C33:G39" si="1">((($C$11+$C$12+$C$13*C$32-($B33*$C$6*0.5)*$C$9*(1-$C$10)-$C$14)/($C$8+($B33*$C$6*0.5)/$C$7))/$C$15)-1</f>
        <v>-1.7813923432484446E-2</v>
      </c>
      <c r="D33" s="78">
        <f t="shared" si="1"/>
        <v>-1.566321186569597E-2</v>
      </c>
      <c r="E33" s="78">
        <f t="shared" si="1"/>
        <v>-1.3512500298907493E-2</v>
      </c>
      <c r="F33" s="78">
        <f t="shared" si="1"/>
        <v>-1.1361788732119238E-2</v>
      </c>
      <c r="G33" s="78">
        <f t="shared" si="1"/>
        <v>-9.2110771653309831E-3</v>
      </c>
    </row>
    <row r="34" spans="2:9" ht="15" customHeight="1" x14ac:dyDescent="0.3">
      <c r="B34" s="77">
        <v>450</v>
      </c>
      <c r="C34" s="78">
        <f t="shared" si="1"/>
        <v>-2.1875893510719391E-2</v>
      </c>
      <c r="D34" s="78">
        <f t="shared" si="1"/>
        <v>-1.9727903179553974E-2</v>
      </c>
      <c r="E34" s="78">
        <f t="shared" si="1"/>
        <v>-1.7579912848388446E-2</v>
      </c>
      <c r="F34" s="78">
        <f t="shared" si="1"/>
        <v>-1.5431922517222696E-2</v>
      </c>
      <c r="G34" s="78">
        <f t="shared" si="1"/>
        <v>-1.3283932186057501E-2</v>
      </c>
    </row>
    <row r="35" spans="2:9" ht="15" customHeight="1" x14ac:dyDescent="0.3">
      <c r="B35" s="77">
        <v>475</v>
      </c>
      <c r="C35" s="78">
        <f t="shared" si="1"/>
        <v>-2.3903026363411128E-2</v>
      </c>
      <c r="D35" s="78">
        <f t="shared" si="1"/>
        <v>-2.1756394069361806E-2</v>
      </c>
      <c r="E35" s="78">
        <f t="shared" si="1"/>
        <v>-1.9609761775312373E-2</v>
      </c>
      <c r="F35" s="78">
        <f t="shared" si="1"/>
        <v>-1.7463129481263051E-2</v>
      </c>
      <c r="G35" s="78">
        <f t="shared" si="1"/>
        <v>-1.531649718721384E-2</v>
      </c>
    </row>
    <row r="36" spans="2:9" ht="15" customHeight="1" x14ac:dyDescent="0.3">
      <c r="B36" s="77">
        <v>500</v>
      </c>
      <c r="C36" s="78">
        <f t="shared" si="1"/>
        <v>-2.5927597582359518E-2</v>
      </c>
      <c r="D36" s="78">
        <f t="shared" si="1"/>
        <v>-2.3782321609311152E-2</v>
      </c>
      <c r="E36" s="78">
        <f t="shared" si="1"/>
        <v>-2.1637045636262342E-2</v>
      </c>
      <c r="F36" s="78">
        <f t="shared" si="1"/>
        <v>-1.9491769663213976E-2</v>
      </c>
      <c r="G36" s="78">
        <f t="shared" si="1"/>
        <v>-1.7346493690165388E-2</v>
      </c>
    </row>
    <row r="37" spans="2:9" ht="15" customHeight="1" x14ac:dyDescent="0.3">
      <c r="B37" s="77">
        <v>550</v>
      </c>
      <c r="C37" s="78">
        <f t="shared" si="1"/>
        <v>-2.9969074516922323E-2</v>
      </c>
      <c r="D37" s="78">
        <f t="shared" si="1"/>
        <v>-2.7826506050524946E-2</v>
      </c>
      <c r="E37" s="78">
        <f t="shared" si="1"/>
        <v>-2.5683937584127348E-2</v>
      </c>
      <c r="F37" s="78">
        <f t="shared" si="1"/>
        <v>-2.3541369117729971E-2</v>
      </c>
      <c r="G37" s="78">
        <f t="shared" si="1"/>
        <v>-2.1398800651332595E-2</v>
      </c>
    </row>
    <row r="38" spans="2:9" ht="15" customHeight="1" x14ac:dyDescent="0.3">
      <c r="B38" s="77">
        <v>600</v>
      </c>
      <c r="C38" s="78">
        <f t="shared" si="1"/>
        <v>-3.4000362987948285E-2</v>
      </c>
      <c r="D38" s="78">
        <f t="shared" si="1"/>
        <v>-3.1860495202644668E-2</v>
      </c>
      <c r="E38" s="78">
        <f t="shared" si="1"/>
        <v>-2.9720627417340717E-2</v>
      </c>
      <c r="F38" s="78">
        <f t="shared" si="1"/>
        <v>-2.7580759632036878E-2</v>
      </c>
      <c r="G38" s="78">
        <f t="shared" si="1"/>
        <v>-2.544089184673326E-2</v>
      </c>
    </row>
    <row r="39" spans="2:9" ht="15" customHeight="1" x14ac:dyDescent="0.3">
      <c r="B39" s="77">
        <v>650</v>
      </c>
      <c r="C39" s="78">
        <f t="shared" si="1"/>
        <v>-3.8021501474232777E-2</v>
      </c>
      <c r="D39" s="78">
        <f t="shared" si="1"/>
        <v>-3.5884327570243402E-2</v>
      </c>
      <c r="E39" s="78">
        <f t="shared" si="1"/>
        <v>-3.3747153666253915E-2</v>
      </c>
      <c r="F39" s="78">
        <f t="shared" si="1"/>
        <v>-3.160997976226454E-2</v>
      </c>
      <c r="G39" s="78">
        <f t="shared" si="1"/>
        <v>-2.9472805858275164E-2</v>
      </c>
    </row>
    <row r="41" spans="2:9" ht="15" customHeight="1" x14ac:dyDescent="0.3">
      <c r="B41" s="87" t="s">
        <v>627</v>
      </c>
      <c r="C41" s="87"/>
      <c r="D41" s="87"/>
      <c r="E41" s="87"/>
      <c r="F41" s="87"/>
      <c r="G41" s="87"/>
      <c r="H41" s="87"/>
    </row>
    <row r="43" spans="2:9" ht="15" customHeight="1" x14ac:dyDescent="0.3">
      <c r="B43" s="4" t="s">
        <v>628</v>
      </c>
      <c r="C43" s="29"/>
      <c r="D43" s="29"/>
      <c r="E43" s="29"/>
      <c r="F43" s="29"/>
      <c r="G43" s="29"/>
      <c r="H43" s="29"/>
      <c r="I43" s="29"/>
    </row>
    <row r="44" spans="2:9" ht="15" customHeight="1" x14ac:dyDescent="0.3">
      <c r="B44" s="12" t="s">
        <v>629</v>
      </c>
      <c r="C44" s="79">
        <f>Accretion_Dilution!G61</f>
        <v>-1.9609761775312373E-2</v>
      </c>
    </row>
    <row r="45" spans="2:9" ht="15" customHeight="1" x14ac:dyDescent="0.3">
      <c r="B45" s="12" t="s">
        <v>630</v>
      </c>
      <c r="C45" s="18">
        <f>($C$15*Accretion_Dilution!G57)-Accretion_Dilution!G52</f>
        <v>81.996913110426249</v>
      </c>
    </row>
    <row r="46" spans="2:9" ht="15" customHeight="1" x14ac:dyDescent="0.3">
      <c r="B46" s="12" t="s">
        <v>631</v>
      </c>
      <c r="C46" s="23">
        <f>C45/(1-$C$10)/Target_Financials!G7</f>
        <v>5.7094552912228619E-2</v>
      </c>
    </row>
    <row r="48" spans="2:9" ht="15" customHeight="1" x14ac:dyDescent="0.3">
      <c r="B48" s="87" t="s">
        <v>632</v>
      </c>
      <c r="C48" s="87"/>
      <c r="D48" s="87"/>
      <c r="E48" s="87"/>
      <c r="F48" s="87"/>
      <c r="G48" s="87"/>
      <c r="H48" s="87"/>
    </row>
  </sheetData>
  <mergeCells count="3">
    <mergeCell ref="B28:H28"/>
    <mergeCell ref="B41:H41"/>
    <mergeCell ref="B48:H48"/>
  </mergeCells>
  <conditionalFormatting sqref="C20:G26">
    <cfRule type="colorScale" priority="2">
      <colorScale>
        <cfvo type="num" val="-0.05"/>
        <cfvo type="num" val="0"/>
        <cfvo type="num" val="0.05"/>
        <color rgb="FFF8696B"/>
        <color rgb="FFFFEB84"/>
        <color rgb="FF63BE7B"/>
      </colorScale>
    </cfRule>
  </conditionalFormatting>
  <conditionalFormatting sqref="C33:G39">
    <cfRule type="colorScale" priority="3">
      <colorScale>
        <cfvo type="num" val="-0.05"/>
        <cfvo type="num" val="0"/>
        <cfvo type="num" val="0.05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60"/>
  <sheetViews>
    <sheetView topLeftCell="A42" zoomScaleNormal="100" workbookViewId="0">
      <selection activeCell="B56" sqref="B56:F56"/>
    </sheetView>
  </sheetViews>
  <sheetFormatPr defaultColWidth="8.6640625" defaultRowHeight="14.4" x14ac:dyDescent="0.3"/>
  <cols>
    <col min="1" max="1" width="2" customWidth="1"/>
    <col min="2" max="2" width="35" customWidth="1"/>
    <col min="3" max="6" width="17" customWidth="1"/>
  </cols>
  <sheetData>
    <row r="2" spans="2:6" ht="19.5" customHeight="1" x14ac:dyDescent="0.3">
      <c r="B2" s="9" t="s">
        <v>633</v>
      </c>
    </row>
    <row r="3" spans="2:6" ht="15" customHeight="1" x14ac:dyDescent="0.3">
      <c r="B3" s="10" t="s">
        <v>687</v>
      </c>
    </row>
    <row r="5" spans="2:6" ht="15" customHeight="1" x14ac:dyDescent="0.3">
      <c r="B5" s="4" t="s">
        <v>634</v>
      </c>
      <c r="C5" s="29"/>
      <c r="D5" s="29"/>
      <c r="E5" s="29"/>
      <c r="F5" s="29"/>
    </row>
    <row r="6" spans="2:6" ht="15" customHeight="1" x14ac:dyDescent="0.3">
      <c r="B6" s="11" t="s">
        <v>524</v>
      </c>
      <c r="C6" s="11" t="s">
        <v>311</v>
      </c>
      <c r="D6" s="11" t="s">
        <v>635</v>
      </c>
      <c r="E6" s="11" t="s">
        <v>310</v>
      </c>
      <c r="F6" s="11" t="s">
        <v>636</v>
      </c>
    </row>
    <row r="7" spans="2:6" ht="15" customHeight="1" x14ac:dyDescent="0.3">
      <c r="B7" s="12" t="s">
        <v>637</v>
      </c>
      <c r="C7" s="60">
        <f>DCF!C51</f>
        <v>384.39324690838879</v>
      </c>
      <c r="D7" s="60">
        <f>DCF!C52</f>
        <v>596.47529349088256</v>
      </c>
      <c r="E7" s="60">
        <f>DCF!C53</f>
        <v>1220.5971059960989</v>
      </c>
      <c r="F7" s="15" t="s">
        <v>638</v>
      </c>
    </row>
    <row r="8" spans="2:6" ht="15" customHeight="1" x14ac:dyDescent="0.3">
      <c r="B8" s="12" t="s">
        <v>529</v>
      </c>
      <c r="C8" s="60">
        <f>Trading_Comps!F29</f>
        <v>938.97341437356681</v>
      </c>
      <c r="D8" s="60">
        <f>Trading_Comps!F30</f>
        <v>1090.232974910394</v>
      </c>
      <c r="E8" s="60">
        <f>Trading_Comps!F31</f>
        <v>1234.6715636609254</v>
      </c>
      <c r="F8" s="15" t="s">
        <v>639</v>
      </c>
    </row>
    <row r="9" spans="2:6" ht="15" customHeight="1" x14ac:dyDescent="0.3">
      <c r="B9" s="12" t="s">
        <v>530</v>
      </c>
      <c r="C9" s="60">
        <f>Precedent_Transactions!F29</f>
        <v>783.66871843434342</v>
      </c>
      <c r="D9" s="60">
        <f>Precedent_Transactions!F30</f>
        <v>809.11221395092355</v>
      </c>
      <c r="E9" s="60">
        <f>Precedent_Transactions!F31</f>
        <v>832.04156954156952</v>
      </c>
      <c r="F9" s="15" t="s">
        <v>640</v>
      </c>
    </row>
    <row r="10" spans="2:6" ht="15" customHeight="1" x14ac:dyDescent="0.3">
      <c r="B10" s="12" t="s">
        <v>527</v>
      </c>
      <c r="C10" s="60">
        <f>Assumptions!C23</f>
        <v>320.7</v>
      </c>
      <c r="D10" s="56" t="s">
        <v>87</v>
      </c>
      <c r="E10" s="60">
        <f>Assumptions!C22</f>
        <v>718.95</v>
      </c>
      <c r="F10" s="15" t="s">
        <v>641</v>
      </c>
    </row>
    <row r="11" spans="2:6" ht="15" customHeight="1" x14ac:dyDescent="0.3">
      <c r="B11" s="12" t="s">
        <v>531</v>
      </c>
      <c r="C11" s="60">
        <f>Assumptions!C17</f>
        <v>331.05</v>
      </c>
      <c r="D11" s="56" t="s">
        <v>87</v>
      </c>
      <c r="E11" s="60">
        <f>Assumptions!C17</f>
        <v>331.05</v>
      </c>
      <c r="F11" s="15" t="s">
        <v>642</v>
      </c>
    </row>
    <row r="12" spans="2:6" ht="15" customHeight="1" x14ac:dyDescent="0.3">
      <c r="B12" s="61" t="s">
        <v>643</v>
      </c>
      <c r="C12" s="62">
        <f>Assumptions!C51</f>
        <v>475</v>
      </c>
      <c r="D12" s="62">
        <f>Assumptions!C51</f>
        <v>475</v>
      </c>
      <c r="E12" s="62">
        <f>Assumptions!C51</f>
        <v>475</v>
      </c>
      <c r="F12" s="80" t="s">
        <v>644</v>
      </c>
    </row>
    <row r="14" spans="2:6" ht="15" customHeight="1" x14ac:dyDescent="0.3">
      <c r="B14" s="4" t="s">
        <v>645</v>
      </c>
      <c r="C14" s="29"/>
      <c r="D14" s="29"/>
      <c r="E14" s="29"/>
      <c r="F14" s="29"/>
    </row>
    <row r="15" spans="2:6" ht="15" customHeight="1" x14ac:dyDescent="0.3">
      <c r="B15" s="16" t="s">
        <v>646</v>
      </c>
      <c r="C15" s="60">
        <f>Assumptions!C51</f>
        <v>475</v>
      </c>
    </row>
    <row r="16" spans="2:6" ht="15" customHeight="1" x14ac:dyDescent="0.3">
      <c r="B16" s="16" t="s">
        <v>647</v>
      </c>
      <c r="C16" s="34">
        <f>Assumptions!C52</f>
        <v>0.43482857574384526</v>
      </c>
    </row>
    <row r="17" spans="2:6" ht="15" customHeight="1" x14ac:dyDescent="0.3">
      <c r="B17" s="16" t="s">
        <v>545</v>
      </c>
      <c r="C17" s="46">
        <f>Assumptions!C53</f>
        <v>3420</v>
      </c>
    </row>
    <row r="18" spans="2:6" ht="15" customHeight="1" x14ac:dyDescent="0.3">
      <c r="B18" s="16" t="s">
        <v>648</v>
      </c>
      <c r="C18" s="46">
        <f>Assumptions!C54</f>
        <v>1160</v>
      </c>
    </row>
    <row r="19" spans="2:6" ht="15" customHeight="1" x14ac:dyDescent="0.3">
      <c r="B19" s="16" t="s">
        <v>649</v>
      </c>
      <c r="C19" s="46">
        <f>Assumptions!C55</f>
        <v>4580</v>
      </c>
    </row>
    <row r="20" spans="2:6" ht="15" customHeight="1" x14ac:dyDescent="0.3">
      <c r="B20" s="16" t="s">
        <v>650</v>
      </c>
      <c r="C20" s="26">
        <f>Assumptions!C56</f>
        <v>8.9803921568627452</v>
      </c>
    </row>
    <row r="21" spans="2:6" ht="15" customHeight="1" x14ac:dyDescent="0.3">
      <c r="B21" s="16" t="s">
        <v>651</v>
      </c>
      <c r="C21" s="26">
        <f>Assumptions!C55/Target_Financials!F7</f>
        <v>3.0533333333333332</v>
      </c>
    </row>
    <row r="22" spans="2:6" ht="15" customHeight="1" x14ac:dyDescent="0.3">
      <c r="B22" s="16" t="s">
        <v>652</v>
      </c>
      <c r="C22" s="26">
        <f>Assumptions!C63</f>
        <v>41.829565530327812</v>
      </c>
    </row>
    <row r="24" spans="2:6" ht="15" customHeight="1" x14ac:dyDescent="0.3">
      <c r="B24" s="4" t="s">
        <v>653</v>
      </c>
      <c r="C24" s="29"/>
      <c r="D24" s="29"/>
      <c r="E24" s="29"/>
      <c r="F24" s="29"/>
    </row>
    <row r="25" spans="2:6" ht="15" customHeight="1" x14ac:dyDescent="0.3">
      <c r="B25" s="11" t="s">
        <v>187</v>
      </c>
      <c r="C25" s="11" t="s">
        <v>597</v>
      </c>
      <c r="D25" s="11" t="s">
        <v>598</v>
      </c>
      <c r="E25" s="11" t="s">
        <v>654</v>
      </c>
    </row>
    <row r="26" spans="2:6" ht="15" customHeight="1" x14ac:dyDescent="0.3">
      <c r="B26" s="12" t="s">
        <v>655</v>
      </c>
      <c r="C26" s="60">
        <f>Accretion_Dilution!C58</f>
        <v>16.395419797979798</v>
      </c>
      <c r="D26" s="60">
        <f>Accretion_Dilution!C59</f>
        <v>16.691733333333332</v>
      </c>
      <c r="E26" s="81">
        <f>Accretion_Dilution!C61</f>
        <v>-1.7752112943345222E-2</v>
      </c>
    </row>
    <row r="27" spans="2:6" ht="15" customHeight="1" x14ac:dyDescent="0.3">
      <c r="B27" s="12" t="s">
        <v>656</v>
      </c>
      <c r="C27" s="60">
        <f>Accretion_Dilution!D58</f>
        <v>16.111179797979798</v>
      </c>
      <c r="D27" s="60">
        <f>Accretion_Dilution!D59</f>
        <v>16.691733333333332</v>
      </c>
      <c r="E27" s="81">
        <f>Accretion_Dilution!D61</f>
        <v>-3.4780901645137807E-2</v>
      </c>
    </row>
    <row r="28" spans="2:6" ht="15" customHeight="1" x14ac:dyDescent="0.3">
      <c r="B28" s="12" t="s">
        <v>657</v>
      </c>
      <c r="C28" s="60">
        <f>Accretion_Dilution!E58</f>
        <v>16.611633348517781</v>
      </c>
      <c r="D28" s="60">
        <f>Accretion_Dilution!E59</f>
        <v>16.691733333333332</v>
      </c>
      <c r="E28" s="81">
        <f>Accretion_Dilution!E61</f>
        <v>-4.7987817212242767E-3</v>
      </c>
    </row>
    <row r="29" spans="2:6" ht="15" customHeight="1" x14ac:dyDescent="0.3">
      <c r="B29" s="12" t="s">
        <v>658</v>
      </c>
      <c r="C29" s="60">
        <f>Accretion_Dilution!F58</f>
        <v>16.168027797979796</v>
      </c>
      <c r="D29" s="60">
        <f>Accretion_Dilution!F59</f>
        <v>16.691733333333332</v>
      </c>
      <c r="E29" s="81">
        <f>Accretion_Dilution!F61</f>
        <v>-3.1375143904779357E-2</v>
      </c>
    </row>
    <row r="30" spans="2:6" ht="15" customHeight="1" x14ac:dyDescent="0.3">
      <c r="B30" s="12" t="s">
        <v>659</v>
      </c>
      <c r="C30" s="60">
        <f>Accretion_Dilution!G58</f>
        <v>16.364412419049625</v>
      </c>
      <c r="D30" s="60">
        <f>Accretion_Dilution!G59</f>
        <v>16.691733333333332</v>
      </c>
      <c r="E30" s="81">
        <f>Accretion_Dilution!G61</f>
        <v>-1.9609761775312373E-2</v>
      </c>
    </row>
    <row r="31" spans="2:6" ht="15" customHeight="1" x14ac:dyDescent="0.3">
      <c r="B31" s="12" t="s">
        <v>660</v>
      </c>
      <c r="C31" s="60">
        <f>Accretion_Dilution!H58</f>
        <v>16.392494976128692</v>
      </c>
      <c r="D31" s="60">
        <f>Accretion_Dilution!H59</f>
        <v>16.691733333333332</v>
      </c>
      <c r="E31" s="81">
        <f>Accretion_Dilution!H61</f>
        <v>-1.7927338714851304E-2</v>
      </c>
    </row>
    <row r="32" spans="2:6" ht="15" customHeight="1" x14ac:dyDescent="0.3"/>
    <row r="33" spans="2:6" ht="15" customHeight="1" x14ac:dyDescent="0.3">
      <c r="B33" s="89" t="s">
        <v>661</v>
      </c>
      <c r="C33" s="89"/>
      <c r="D33" s="89"/>
      <c r="E33" s="89"/>
      <c r="F33" s="89"/>
    </row>
    <row r="34" spans="2:6" ht="15" customHeight="1" x14ac:dyDescent="0.3">
      <c r="B34" s="98" t="s">
        <v>662</v>
      </c>
      <c r="C34" s="98"/>
      <c r="D34" s="98"/>
      <c r="E34" s="98"/>
      <c r="F34" s="98"/>
    </row>
    <row r="35" spans="2:6" ht="15" customHeight="1" x14ac:dyDescent="0.3">
      <c r="B35" s="86"/>
      <c r="C35" s="86"/>
      <c r="D35" s="86"/>
      <c r="E35" s="86"/>
      <c r="F35" s="86"/>
    </row>
    <row r="36" spans="2:6" ht="15" customHeight="1" x14ac:dyDescent="0.3">
      <c r="B36" s="85" t="s">
        <v>663</v>
      </c>
      <c r="C36" s="85"/>
      <c r="D36" s="85"/>
      <c r="E36" s="85"/>
      <c r="F36" s="85"/>
    </row>
    <row r="37" spans="2:6" ht="15" customHeight="1" x14ac:dyDescent="0.3">
      <c r="B37" s="86" t="s">
        <v>664</v>
      </c>
      <c r="C37" s="86"/>
      <c r="D37" s="86"/>
      <c r="E37" s="86"/>
      <c r="F37" s="86"/>
    </row>
    <row r="38" spans="2:6" ht="15" customHeight="1" x14ac:dyDescent="0.3">
      <c r="B38" s="86" t="s">
        <v>665</v>
      </c>
      <c r="C38" s="86"/>
      <c r="D38" s="86"/>
      <c r="E38" s="86"/>
      <c r="F38" s="86"/>
    </row>
    <row r="39" spans="2:6" ht="15" customHeight="1" x14ac:dyDescent="0.3">
      <c r="B39" s="86" t="s">
        <v>666</v>
      </c>
      <c r="C39" s="86"/>
      <c r="D39" s="86"/>
      <c r="E39" s="86"/>
      <c r="F39" s="86"/>
    </row>
    <row r="40" spans="2:6" ht="15" customHeight="1" x14ac:dyDescent="0.3">
      <c r="B40" s="86" t="s">
        <v>667</v>
      </c>
      <c r="C40" s="86"/>
      <c r="D40" s="86"/>
      <c r="E40" s="86"/>
      <c r="F40" s="86"/>
    </row>
    <row r="41" spans="2:6" ht="15" customHeight="1" x14ac:dyDescent="0.3">
      <c r="B41" s="86" t="s">
        <v>668</v>
      </c>
      <c r="C41" s="86"/>
      <c r="D41" s="86"/>
      <c r="E41" s="86"/>
      <c r="F41" s="86"/>
    </row>
    <row r="42" spans="2:6" ht="15" customHeight="1" x14ac:dyDescent="0.3">
      <c r="B42" s="86" t="s">
        <v>669</v>
      </c>
      <c r="C42" s="86"/>
      <c r="D42" s="86"/>
      <c r="E42" s="86"/>
      <c r="F42" s="86"/>
    </row>
    <row r="43" spans="2:6" ht="15" customHeight="1" x14ac:dyDescent="0.3">
      <c r="B43" s="86" t="s">
        <v>670</v>
      </c>
      <c r="C43" s="86"/>
      <c r="D43" s="86"/>
      <c r="E43" s="86"/>
      <c r="F43" s="86"/>
    </row>
    <row r="44" spans="2:6" ht="15" customHeight="1" x14ac:dyDescent="0.3">
      <c r="B44" s="86" t="s">
        <v>671</v>
      </c>
      <c r="C44" s="86"/>
      <c r="D44" s="86"/>
      <c r="E44" s="86"/>
      <c r="F44" s="86"/>
    </row>
    <row r="45" spans="2:6" ht="15" customHeight="1" x14ac:dyDescent="0.3">
      <c r="B45" s="86" t="s">
        <v>672</v>
      </c>
      <c r="C45" s="86"/>
      <c r="D45" s="86"/>
      <c r="E45" s="86"/>
      <c r="F45" s="86"/>
    </row>
    <row r="46" spans="2:6" ht="15" customHeight="1" x14ac:dyDescent="0.3">
      <c r="B46" s="86" t="s">
        <v>673</v>
      </c>
      <c r="C46" s="86"/>
      <c r="D46" s="86"/>
      <c r="E46" s="86"/>
      <c r="F46" s="86"/>
    </row>
    <row r="47" spans="2:6" ht="15" customHeight="1" x14ac:dyDescent="0.3">
      <c r="B47" s="86" t="s">
        <v>674</v>
      </c>
      <c r="C47" s="86"/>
      <c r="D47" s="86"/>
      <c r="E47" s="86"/>
      <c r="F47" s="86"/>
    </row>
    <row r="48" spans="2:6" ht="15" customHeight="1" x14ac:dyDescent="0.3">
      <c r="B48" s="86" t="s">
        <v>675</v>
      </c>
      <c r="C48" s="86"/>
      <c r="D48" s="86"/>
      <c r="E48" s="86"/>
      <c r="F48" s="86"/>
    </row>
    <row r="49" spans="2:6" ht="15" customHeight="1" x14ac:dyDescent="0.3">
      <c r="B49" s="86"/>
      <c r="C49" s="86"/>
      <c r="D49" s="86"/>
      <c r="E49" s="86"/>
      <c r="F49" s="86"/>
    </row>
    <row r="50" spans="2:6" ht="15" customHeight="1" x14ac:dyDescent="0.3">
      <c r="B50" s="85" t="s">
        <v>676</v>
      </c>
      <c r="C50" s="85"/>
      <c r="D50" s="85"/>
      <c r="E50" s="85"/>
      <c r="F50" s="85"/>
    </row>
    <row r="51" spans="2:6" ht="15" customHeight="1" x14ac:dyDescent="0.3">
      <c r="B51" s="86" t="s">
        <v>677</v>
      </c>
      <c r="C51" s="86"/>
      <c r="D51" s="86"/>
      <c r="E51" s="86"/>
      <c r="F51" s="86"/>
    </row>
    <row r="52" spans="2:6" ht="15" customHeight="1" x14ac:dyDescent="0.3">
      <c r="B52" s="86" t="s">
        <v>678</v>
      </c>
      <c r="C52" s="86"/>
      <c r="D52" s="86"/>
      <c r="E52" s="86"/>
      <c r="F52" s="86"/>
    </row>
    <row r="53" spans="2:6" ht="15" customHeight="1" x14ac:dyDescent="0.3">
      <c r="B53" s="86" t="s">
        <v>679</v>
      </c>
      <c r="C53" s="86"/>
      <c r="D53" s="86"/>
      <c r="E53" s="86"/>
      <c r="F53" s="86"/>
    </row>
    <row r="54" spans="2:6" ht="15" customHeight="1" x14ac:dyDescent="0.3">
      <c r="B54" s="86" t="s">
        <v>680</v>
      </c>
      <c r="C54" s="86"/>
      <c r="D54" s="86"/>
      <c r="E54" s="86"/>
      <c r="F54" s="86"/>
    </row>
    <row r="55" spans="2:6" ht="15" customHeight="1" x14ac:dyDescent="0.3">
      <c r="B55" s="86"/>
      <c r="C55" s="86"/>
      <c r="D55" s="86"/>
      <c r="E55" s="86"/>
      <c r="F55" s="86"/>
    </row>
    <row r="56" spans="2:6" ht="15" customHeight="1" x14ac:dyDescent="0.3">
      <c r="B56" s="85" t="s">
        <v>681</v>
      </c>
      <c r="C56" s="85"/>
      <c r="D56" s="85"/>
      <c r="E56" s="85"/>
      <c r="F56" s="85"/>
    </row>
    <row r="57" spans="2:6" ht="15" customHeight="1" x14ac:dyDescent="0.3">
      <c r="B57" s="86" t="s">
        <v>682</v>
      </c>
      <c r="C57" s="86"/>
      <c r="D57" s="86"/>
      <c r="E57" s="86"/>
      <c r="F57" s="86"/>
    </row>
    <row r="58" spans="2:6" ht="15" customHeight="1" x14ac:dyDescent="0.3">
      <c r="B58" s="3" t="s">
        <v>683</v>
      </c>
    </row>
    <row r="59" spans="2:6" ht="15" customHeight="1" x14ac:dyDescent="0.3">
      <c r="B59" s="3" t="s">
        <v>684</v>
      </c>
    </row>
    <row r="60" spans="2:6" ht="15" customHeight="1" x14ac:dyDescent="0.3">
      <c r="B60" s="3" t="s">
        <v>685</v>
      </c>
    </row>
  </sheetData>
  <mergeCells count="25"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Acquirer_Financials</vt:lpstr>
      <vt:lpstr>Target_Financials</vt:lpstr>
      <vt:lpstr>Ratio_Analysis</vt:lpstr>
      <vt:lpstr>Price_Volume_Trends</vt:lpstr>
      <vt:lpstr>DCF</vt:lpstr>
      <vt:lpstr>Trading_Comps</vt:lpstr>
      <vt:lpstr>Precedent_Transactions</vt:lpstr>
      <vt:lpstr>Football_Field</vt:lpstr>
      <vt:lpstr>Accretion_Dilution</vt:lpstr>
      <vt:lpstr>Sensitivity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251250014_ BhaveshBhaisare</cp:lastModifiedBy>
  <cp:revision>9</cp:revision>
  <dcterms:created xsi:type="dcterms:W3CDTF">2026-04-09T20:00:23Z</dcterms:created>
  <dcterms:modified xsi:type="dcterms:W3CDTF">2026-04-11T10:36:34Z</dcterms:modified>
  <dc:language>en-US</dc:language>
</cp:coreProperties>
</file>